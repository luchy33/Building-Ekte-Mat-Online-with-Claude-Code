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lic\Documents\Universitet\INFO212\labb_claude_cowork\EkteMat_repo\01_Requirements\"/>
    </mc:Choice>
  </mc:AlternateContent>
  <xr:revisionPtr revIDLastSave="0" documentId="13_ncr:1_{8E8E89B0-4ECB-44F9-B55E-CFD36EC77601}" xr6:coauthVersionLast="47" xr6:coauthVersionMax="47" xr10:uidLastSave="{00000000-0000-0000-0000-000000000000}"/>
  <bookViews>
    <workbookView xWindow="-90" yWindow="-90" windowWidth="19380" windowHeight="10260" tabRatio="500" activeTab="2" xr2:uid="{00000000-000D-0000-FFFF-FFFF00000000}"/>
  </bookViews>
  <sheets>
    <sheet name="Stakeholders" sheetId="1" r:id="rId1"/>
    <sheet name="User stories" sheetId="2" r:id="rId2"/>
    <sheet name="Non-functional requirements" sheetId="3" r:id="rId3"/>
    <sheet name="Conflicts and open ques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9" i="4" l="1"/>
  <c r="G47" i="4"/>
  <c r="F47" i="4"/>
  <c r="G46" i="4"/>
  <c r="F46" i="4"/>
  <c r="G45" i="4"/>
  <c r="F45" i="4" s="1"/>
  <c r="G44" i="4"/>
  <c r="F44" i="4" s="1"/>
  <c r="G43" i="4"/>
  <c r="F43" i="4"/>
  <c r="G42" i="4"/>
  <c r="F42" i="4" s="1"/>
  <c r="G41" i="4"/>
  <c r="F41" i="4"/>
  <c r="G40" i="4"/>
  <c r="F40" i="4"/>
  <c r="G39" i="4"/>
  <c r="F39" i="4"/>
  <c r="G38" i="4"/>
  <c r="F38" i="4" s="1"/>
  <c r="G37" i="4"/>
  <c r="F37" i="4" s="1"/>
  <c r="G36" i="4"/>
  <c r="F36" i="4" s="1"/>
  <c r="G35" i="4"/>
  <c r="F35" i="4" s="1"/>
  <c r="G34" i="4"/>
  <c r="F34" i="4"/>
  <c r="G33" i="4"/>
  <c r="F33" i="4" s="1"/>
  <c r="G32" i="4"/>
  <c r="F32" i="4"/>
  <c r="G31" i="4"/>
  <c r="G50" i="4" s="1"/>
  <c r="F31" i="4"/>
</calcChain>
</file>

<file path=xl/sharedStrings.xml><?xml version="1.0" encoding="utf-8"?>
<sst xmlns="http://schemas.openxmlformats.org/spreadsheetml/2006/main" count="1054" uniqueCount="730">
  <si>
    <t>Stakeholder ID</t>
  </si>
  <si>
    <t>Name/Group</t>
  </si>
  <si>
    <t>Role</t>
  </si>
  <si>
    <t>Interest</t>
  </si>
  <si>
    <t>Influence</t>
  </si>
  <si>
    <t>Key Concerns</t>
  </si>
  <si>
    <t>Source File(s)</t>
  </si>
  <si>
    <t>Supporting Quote/Evidence</t>
  </si>
  <si>
    <t>Evidence Status</t>
  </si>
  <si>
    <t>SH-01</t>
  </si>
  <si>
    <t>Ingrid Solheim</t>
  </si>
  <si>
    <t>Founder, owner (daglig leder) and product owner</t>
  </si>
  <si>
    <t>Stop losing inquiries; self-service menus and booking; kitchen overview; deposit; keep Fiken; show food origin; live by 2027-03-01</t>
  </si>
  <si>
    <t>High</t>
  </si>
  <si>
    <t>Lost inquiries (about 60 000 NOK); no-shows at weddings; budget about 450 000 NOK; deadline</t>
  </si>
  <si>
    <t>01_Requirements/sources/01_interview_owner_2026-08-14.txt
00_Project_management/00_minutes_kickoff-meeting_2026-08-12.txt</t>
  </si>
  <si>
    <t>01_interview_owner_2026-08-14.txt [header]: "Ingrid Solheim (founder and owner, Ekte Mat AS)"
00_minutes_kickoff-meeting_2026-08-12.txt [bullet 5]: "Ingrid acts as product owner; available Tuesdays 09-10"
Note: Influence High: owner and appointed product owner (documented).</t>
  </si>
  <si>
    <t>DIRECT</t>
  </si>
  <si>
    <t>SH-02</t>
  </si>
  <si>
    <t>Sunniva Berg</t>
  </si>
  <si>
    <t>Event coordinator</t>
  </si>
  <si>
    <t>One order record instead of Excel + printouts; capacity calendar; automatic 7-day reminders; allergy confirmation</t>
  </si>
  <si>
    <t>Medium</t>
  </si>
  <si>
    <t>Forgotten updates; slow replies in peak season; overbooking; corporate customers lost if deposit is forced</t>
  </si>
  <si>
    <t>01_Requirements/sources/01_interview_event-coordinator_2026-08-15.txt</t>
  </si>
  <si>
    <t>01_interview_event-coordinator_2026-08-15.txt [header]: "Sunniva Berg (event coordinator, Ekte Mat AS)"
01_interview_event-coordinator_2026-08-15.txt [Q3]: "If we force a deposit on them, we will lose them."
Note: Influence Medium is an assessment: key daily user, no documented decision authority.</t>
  </si>
  <si>
    <t>ASSUMPTION</t>
  </si>
  <si>
    <t>SH-03</t>
  </si>
  <si>
    <t>Mateo Rinaldi</t>
  </si>
  <si>
    <t>Head chef</t>
  </si>
  <si>
    <t>Kitchen wall-tablet overview; PIN login; edit seasonal menus; supplier-linked ingredients; prep list; offline access</t>
  </si>
  <si>
    <t>Allergy visibility; speed; internet outages</t>
  </si>
  <si>
    <t>01_Requirements/sources/01_interview_head-chef_2026-08-15.txt</t>
  </si>
  <si>
    <t>01_interview_head-chef_2026-08-15.txt [header]: "Mateo Rinaldi (head chef)"
01_interview_head-chef_2026-08-15.txt [Q1]: "One screen in the kitchen. Tablet on the wall."
Note: Influence Medium is an assessment: owns kitchen operations, no documented project authority.</t>
  </si>
  <si>
    <t>SH-04</t>
  </si>
  <si>
    <t>Henrik Aas (Fjordtek AS)</t>
  </si>
  <si>
    <t>Office manager at Ekte Mat's biggest corporate customer</t>
  </si>
  <si>
    <t>Company login; standing orders; copy orders; change until 10:00 day before; approval above 15 000 NOK; monthly EHF invoice</t>
  </si>
  <si>
    <t>Late confirmations; no prepayment allowed; EU/EEA data storage; deletion of employee names</t>
  </si>
  <si>
    <t>01_Requirements/sources/01_interview_corporate-customer_2026-08-19.txt
01_Requirements/sources/01_interview_owner_2026-08-14.txt</t>
  </si>
  <si>
    <t>01_interview_corporate-customer_2026-08-19.txt [header]: "Henrik Aas (office manager, Fjordtek AS - fictional company, 180 employees)"
01_interview_owner_2026-08-14.txt [Q6]: "maybe Fjordtek - they are our biggest corporate customer."
Note: Influence Medium is an assessment based on 'biggest corporate customer'.</t>
  </si>
  <si>
    <t>SH-05</t>
  </si>
  <si>
    <t>Fjordtek IT department</t>
  </si>
  <si>
    <t>IT function of a corporate customer (not interviewed)</t>
  </si>
  <si>
    <t>Data location and deletion</t>
  </si>
  <si>
    <t>Low</t>
  </si>
  <si>
    <t>Data stored in EU/EEA; employee names deleted at end of relationship</t>
  </si>
  <si>
    <t>01_Requirements/sources/01_interview_corporate-customer_2026-08-19.txt</t>
  </si>
  <si>
    <t>01_interview_corporate-customer_2026-08-19.txt [Q4]: "Our IT department will ask where our data is stored."
Note: Group named only indirectly; influence assessed.</t>
  </si>
  <si>
    <t>SH-06</t>
  </si>
  <si>
    <t>Fjordtek finance department</t>
  </si>
  <si>
    <t>Finance function of a corporate customer (not interviewed)</t>
  </si>
  <si>
    <t>Invoice-based payment</t>
  </si>
  <si>
    <t>Prepayment not allowed</t>
  </si>
  <si>
    <t>01_interview_corporate-customer_2026-08-19.txt [Q3]: "We cannot prepay, our finance department does not allow it."
Note: Group named only indirectly; influence assessed.</t>
  </si>
  <si>
    <t>SH-07</t>
  </si>
  <si>
    <t>Corporate customers (group)</t>
  </si>
  <si>
    <t>Customer segment: weekly lunches and meetings</t>
  </si>
  <si>
    <t>Recurring orders, several orderers, EHF invoicing with references, English menus</t>
  </si>
  <si>
    <t>PDF invoices rejected; repetitive weekly e-mails; reorder without details</t>
  </si>
  <si>
    <t>00_Project_management/00_minutes_kickoff-meeting_2026-08-12.txt
04_Data/04_dataset_customer-emails_2026-10-20.csv</t>
  </si>
  <si>
    <t>00_minutes_kickoff-meeting_2026-08-12.txt [bullet 3]: "Customer groups: corporate (weekly lunches, meetings), private (parties), weddings, health-conscious"
04_dataset_customer-emails_2026-10-20.csv [E004]: "our finance department only accepts EHF invoices with our PO number."
04_dataset_customer-emails_2026-10-20.csv [E007]: "It is a pain to e-mail every week."
Note: Segment documented; influence assessed.</t>
  </si>
  <si>
    <t>SH-08</t>
  </si>
  <si>
    <t>Private customers (parties)</t>
  </si>
  <si>
    <t>Customer segment: parties, birthdays, confirmations</t>
  </si>
  <si>
    <t>Vipps payment, e-mail receipt, pick-up option, phone ordering</t>
  </si>
  <si>
    <t>Payment method; ability to order without internet</t>
  </si>
  <si>
    <t>00_minutes_kickoff-meeting_2026-08-12.txt [bullet 3]: "private (parties)"
04_dataset_customer-emails_2026-10-20.csv [E009]: "Kan jeg betale med Vipps for bursdag 30 pers?" [translation: Can I pay with Vipps for a birthday party of 30?]
04_dataset_customer-emails_2026-10-20.csv [E024]: "Kan jeg fortsatt bestille på telefon?" [translation: Can I still order by phone?]
Note: Segment documented; influence assessed.</t>
  </si>
  <si>
    <t>SH-09</t>
  </si>
  <si>
    <t>Wedding customers</t>
  </si>
  <si>
    <t>Customer segment: weddings (season from May 2027)</t>
  </si>
  <si>
    <t>Capacity for served dinners; deposit amount</t>
  </si>
  <si>
    <t>Availability on the date; deposit terms</t>
  </si>
  <si>
    <t>01_Requirements/sources/01_interview_owner_2026-08-14.txt
04_Data/04_dataset_customer-emails_2026-10-20.csv</t>
  </si>
  <si>
    <t>01_interview_owner_2026-08-14.txt [Q2]: "We have had too many no-shows at weddings."
04_dataset_customer-emails_2026-10-20.csv [E005]: "Har dere kapasitet? Hvor mye må vi betale i depositum?" [translation: Do you have capacity? How much do we have to pay as a deposit?]
Note: Segment documented; influence assessed.</t>
  </si>
  <si>
    <t>SH-10</t>
  </si>
  <si>
    <t>Health-conscious customers</t>
  </si>
  <si>
    <t>Customer segment named at kick-off</t>
  </si>
  <si>
    <t>Not documented beyond the segment name</t>
  </si>
  <si>
    <t>Not documented (no interview or e-mail attributable)</t>
  </si>
  <si>
    <t>00_Project_management/00_minutes_kickoff-meeting_2026-08-12.txt</t>
  </si>
  <si>
    <t>00_minutes_kickoff-meeting_2026-08-12.txt [bullet 3]: "health-conscious"
Note: Only the segment name is evidenced; concerns unknown.</t>
  </si>
  <si>
    <t>SH-11</t>
  </si>
  <si>
    <t>Driver (name not documented)</t>
  </si>
  <si>
    <t>Delivers orders (not interviewed)</t>
  </si>
  <si>
    <t>Not documented</t>
  </si>
  <si>
    <t>Currently gets the address from a printout and uses own phone</t>
  </si>
  <si>
    <t>02_Analysis_and_models/02_process_as-is-order-handling_2026-08-15.md
03_Architecture/03_landscape_current-it_2026-10-20.txt</t>
  </si>
  <si>
    <t>02_process_as-is-order-handling_2026-08-15.md [step 10]: "Kitchen prepares, driver delivers. Driver gets the address from the printout."
03_landscape_current-it_2026-10-20.txt [Driver]: "Driver: own phone, Google Maps"
Note: Role evidenced; needs not elicited (see issue register).</t>
  </si>
  <si>
    <t>SH-12</t>
  </si>
  <si>
    <t>Data-protection consultant (name not documented)</t>
  </si>
  <si>
    <t>External data-protection adviser</t>
  </si>
  <si>
    <t>GDPR obligations</t>
  </si>
  <si>
    <t>Health data, retention, data-subject rights, data processing agreements</t>
  </si>
  <si>
    <t>01_Requirements/sources/01_note_gdpr-consultant_2026-08-20.txt</t>
  </si>
  <si>
    <t>01_note_gdpr-consultant_2026-08-20.txt [header]: "Note from data-protection consultant (phone call, 20 Aug 2026)"
Note: Advisory role; influence assessed.</t>
  </si>
  <si>
    <t>SH-13</t>
  </si>
  <si>
    <t>Student project team</t>
  </si>
  <si>
    <t>Three student developers, 2-week sprints</t>
  </si>
  <si>
    <t>Deliver first version by go-live</t>
  </si>
  <si>
    <t>Budget, deadline, scope</t>
  </si>
  <si>
    <t>00_Project_management/00_plan_budget-and-constraints_2026-10-20.txt</t>
  </si>
  <si>
    <t>00_plan_budget-and-constraints_2026-10-20.txt [Team]: "Team: 3 student developers, 2-week sprints, product owner Ingrid (Tue 09-10)"
Note: Influence assessed: delivers the system but does not own scope.</t>
  </si>
  <si>
    <t>SH-14</t>
  </si>
  <si>
    <t>Suppliers (farms, boats)</t>
  </si>
  <si>
    <t>Ingredient suppliers whose origin is shown</t>
  </si>
  <si>
    <t>Being shown as origin; becoming a supplier</t>
  </si>
  <si>
    <t>Not elicited</t>
  </si>
  <si>
    <t>01_Requirements/sources/01_interview_owner_2026-08-14.txt
01_Requirements/sources/01_interview_head-chef_2026-08-15.txt
04_Data/04_dataset_customer-emails_2026-10-20.csv</t>
  </si>
  <si>
    <t>01_interview_owner_2026-08-14.txt [Q4]: "where the lamb or the fish comes from - the farm, the boat."
01_interview_head-chef_2026-08-15.txt [Q2]: "ingredients should be linked to suppliers"
04_dataset_customer-emails_2026-10-20.csv [E025]: "we are an organic vegetable farm in Hardanger and would like to become a supplier."
Note: Group evidenced; influence assessed.</t>
  </si>
  <si>
    <t>Story ID</t>
  </si>
  <si>
    <t>Epic ID</t>
  </si>
  <si>
    <t>Epic Name</t>
  </si>
  <si>
    <t>User Story</t>
  </si>
  <si>
    <t>Acceptance Criteria (2–3)</t>
  </si>
  <si>
    <t>MoSCoW Priority</t>
  </si>
  <si>
    <t>One-line Priority Rationale</t>
  </si>
  <si>
    <t>Supporting Quote</t>
  </si>
  <si>
    <t>Assumptions/Dependencies</t>
  </si>
  <si>
    <t>US-01</t>
  </si>
  <si>
    <t>EP-01</t>
  </si>
  <si>
    <t>Online menus and booking requests</t>
  </si>
  <si>
    <t>As a prospective customer, I want to see current menus and prices online at any time so that I can plan an event without e-mailing for a quote.</t>
  </si>
  <si>
    <t>Must</t>
  </si>
  <si>
    <t>Named by the owner as a first function; core of the documented project goal.</t>
  </si>
  <si>
    <t>01_Requirements/sources/01_interview_owner_2026-08-14.txt
04_Data/04_dataset_customer-emails_2026-10-20.csv
01_Requirements/sources/01_vision_draft-v0.3_2026-10-20.docx</t>
  </si>
  <si>
    <t>01_interview_owner_2026-08-14.txt [Q2]: "Customers must be able to see our menus and prices and send a booking request themselves, at any hour."
04_dataset_customer-emails_2026-10-20.csv [E001]: "Can you send the menu and price?"
04_dataset_customer-emails_2026-10-20.csv [E015]: "Can you send a price list PDF?"
01_vision_draft-v0.3_2026-10-20.docx [para 1]: "lets customers see menus, prices and food origin"</t>
  </si>
  <si>
    <t>Pricing unit (per person, as in the autumn menu draft) assumed for all packages; VAT display and minimum order not documented.</t>
  </si>
  <si>
    <t>US-02</t>
  </si>
  <si>
    <t>As a prospective customer, I want to send a booking request online at any hour so that my request is registered and not lost.</t>
  </si>
  <si>
    <t>AC1: Given a visitor has completed the booking form, when they submit it, then the request is stored and listed for the coordinator.
AC2: Given the submission cannot be stored, when the visitor submits, then an error message is shown to the visitor.</t>
  </si>
  <si>
    <t>Lost inquiries are the main documented problem; replaces e-mail intake (kick-off goal).</t>
  </si>
  <si>
    <t>01_Requirements/sources/01_interview_owner_2026-08-14.txt
00_Project_management/00_minutes_kickoff-meeting_2026-08-12.txt
04_Data/04_dataset_customer-emails_2026-10-20.csv</t>
  </si>
  <si>
    <t>01_interview_owner_2026-08-14.txt [Q1]: "We lose inquiries. Last December we found three julebord requests in the spam folder after the date had passed."
00_minutes_kickoff-meeting_2026-08-12.txt [bullet 1]: "Goal: replace e-mail/phone/Excel ordering with an online ordering and event booking system"
04_dataset_customer-emails_2026-10-20.csv [E023]: "I tried the contact form on your website three times and got an error."
04_dataset_customer-emails_2026-10-20.csv [E006]: "We have booked another caterer now."</t>
  </si>
  <si>
    <t>Required booking fields are not defined. Whether a request is auto-confirmed or reviewed by the coordinator is not decided.</t>
  </si>
  <si>
    <t>US-03</t>
  </si>
  <si>
    <t>As a prospective customer, I want to see which dates are available so that I only request dates Ekte Mat can serve.</t>
  </si>
  <si>
    <t>AC1: Given a date has reached the capacity limit, when a customer views the availability calendar, then the date is shown as unavailable.
AC2: Given a date has remaining capacity, when a customer views the calendar, then the date can be selected for a request.</t>
  </si>
  <si>
    <t>Should</t>
  </si>
  <si>
    <t>Clear customer need, but booking requests can be handled without it at go-live.</t>
  </si>
  <si>
    <t>04_Data/04_dataset_customer-emails_2026-10-20.csv</t>
  </si>
  <si>
    <t>04_dataset_customer-emails_2026-10-20.csv [E001]: "Is it possible to see online which dates are free?"
04_dataset_customer-emails_2026-10-20.csv [E005]: "Har dere kapasitet?" [translation: Do you have capacity?]</t>
  </si>
  <si>
    <t>Depends on US-10 and the capacity rule (ISS-06). Whether exact remaining capacity is shown publicly is not decided.</t>
  </si>
  <si>
    <t>US-04</t>
  </si>
  <si>
    <t>As a customer, I want an automatic confirmation and a visible status for my order so that I know whether it is accepted.</t>
  </si>
  <si>
    <t>AC1: Given a booking request is stored, when submission completes, then the customer receives a message that the request was received.
AC2: Given the coordinator confirms the order, when the status changes, then the customer is notified that the order is confirmed.</t>
  </si>
  <si>
    <t>Strongly evidenced pain point, but not named as a go-live condition.</t>
  </si>
  <si>
    <t>01_Requirements/sources/01_interview_corporate-customer_2026-08-19.txt
04_Data/04_dataset_customer-emails_2026-10-20.csv</t>
  </si>
  <si>
    <t>01_interview_corporate-customer_2026-08-19.txt [Q1]: "Then I wait for a confirmation. Sometimes it arrives Monday morning, which is too late for me."
04_dataset_customer-emails_2026-10-20.csv [E011]: "Is our order for tomorrow confirmed? We never got a confirmation e-mail."</t>
  </si>
  <si>
    <t>PO REVIEW: priority could be Must because it is closely tied to the lost-inquiry problem. Notification channel (e-mail) is an ASSUMPTION.</t>
  </si>
  <si>
    <t>US-05</t>
  </si>
  <si>
    <t>As a customer, I want menus to show where key ingredients come from (farm or boat) so that I can choose food with a known origin.</t>
  </si>
  <si>
    <t>AC1: Given a dish has an ingredient linked to a supplier, when a customer views the menu, then the origin of that ingredient is shown.
[Only one AC is supported by the evidence; further criteria need PO input.]</t>
  </si>
  <si>
    <t>Part of the vision and brand, but stated by the owner as a wish ('would love').</t>
  </si>
  <si>
    <t>01_interview_owner_2026-08-14.txt [Q4]: "I would love every menu to show where the lamb or the fish comes from - the farm, the boat."
04_dataset_customer-emails_2026-10-20.csv [E008]: "Which farm is the lamb from?"
01_vision_draft-v0.3_2026-10-20.docx [para 1]: "see menus, prices and food origin"</t>
  </si>
  <si>
    <t>Depends on US-19. Which ingredients must show origin ('every menu' vs key ingredients) is not defined. Only one AC is supported by evidence.</t>
  </si>
  <si>
    <t>US-06</t>
  </si>
  <si>
    <t>As a customer, I want the allergens in each dish to be clearly marked so that guests with allergies can choose safely.</t>
  </si>
  <si>
    <t>AC1: Given a dish contains an allergen on the labelling list, when the menu is displayed, then that allergen is shown for the dish.
AC2: Given the English version of the menu, when it is displayed, then the same allergen markings are shown.</t>
  </si>
  <si>
    <t>Safety-relevant and requested; no source states it as a go-live condition.</t>
  </si>
  <si>
    <t>04_Data/04_reference_lunch-menu-autumn_2026-10-20.txt
04_Data/04_dataset_customer-emails_2026-10-20.csv</t>
  </si>
  <si>
    <t>04_reference_lunch-menu-autumn_2026-10-20.txt [last line]: "Allergens to be labelled: fish, milk, gluten, nuts, celery, mustard."
04_dataset_customer-emails_2026-10-20.csv [E012]: "Is your menu available in English with allergens marked?"
04_dataset_customer-emails_2026-10-20.csv [E019]: "Please label gluten-free items clearly on the buffet."</t>
  </si>
  <si>
    <t>PO REVIEW: consider Must. Legal allergen-labelling obligations are not in the evidence. E019 concerns physical buffet labels, so applying it to the online menu is INFERRED. Depends on NFR-10.</t>
  </si>
  <si>
    <t>US-07</t>
  </si>
  <si>
    <t>As a customer, I want to record allergies and diets per guest group in my order so that the kitchen can prepare safe meals.</t>
  </si>
  <si>
    <t>AC1: Given an order, when the customer adds a guest group, then they can enter the number of guests and their allergies or diets for that group.
AC2: Given allergy information is entered, when the order is saved, then no guest name is required for the allergy data.</t>
  </si>
  <si>
    <t>Documented as mandatory for every order; safety incident in 2024; GDPR advice on health data.</t>
  </si>
  <si>
    <t>01_Requirements/sources/01_interview_event-coordinator_2026-08-15.txt
01_Requirements/sources/01_note_gdpr-consultant_2026-08-20.txt
04_Data/04_dataset_customer-emails_2026-10-20.csv</t>
  </si>
  <si>
    <t>01_interview_event-coordinator_2026-08-15.txt [Q5]: "Every order has to show allergies and diets per guest group"
01_note_gdpr-consultant_2026-08-20.txt [bullet 1]: "Store per guest group, not per named guest, unless strictly needed."
04_dataset_customer-emails_2026-10-20.csv [E002]: "To av gjestene har nøtteallergi og en er cøliaki." [translation: Two of the guests have a nut allergy and one has coeliac disease.]
04_dataset_customer-emails_2026-10-20.csv [E022]: "Adding one guest with shellfish allergy to the order for tonight."</t>
  </si>
  <si>
    <t>Standard list of allergens/diets: the menu draft lists six allergens; whether the order form uses the same list is not decided.</t>
  </si>
  <si>
    <t>US-08</t>
  </si>
  <si>
    <t>As a corporate customer, I want to see the share of local ingredients per order so that I can use it in sustainability (ESG) reporting.</t>
  </si>
  <si>
    <t>AC1: Given an order whose dishes have ingredients with recorded origin, when the customer views the order, then the share of local ingredients is shown.
[Only one AC is supported by the evidence; further criteria need PO input.]</t>
  </si>
  <si>
    <t>Could</t>
  </si>
  <si>
    <t>Single customer request; not linked to go-live needs.</t>
  </si>
  <si>
    <t>04_dataset_customer-emails_2026-10-20.csv [E021]: "can you tell us the CO2 footprint or at least the share of local ingredients per order?"</t>
  </si>
  <si>
    <t>Definition of 'local' and the calculation basis (weight, cost, count) are missing. Depends on US-19. CO2 footprint not included (no data source).</t>
  </si>
  <si>
    <t>US-09</t>
  </si>
  <si>
    <t>EP-02</t>
  </si>
  <si>
    <t>Order management and event coordination</t>
  </si>
  <si>
    <t>As the event coordinator, I want to register and manage all orders, including orders received by phone or e-mail, in one system so that I no longer keep Excel and printouts in sync.</t>
  </si>
  <si>
    <t>AC1: Given an order received by phone, when the coordinator registers it, then it appears in the same order list as online orders.
AC2: Given the coordinator changes an order, when the change is saved, then the kitchen overview shows the updated order without re-printing.</t>
  </si>
  <si>
    <t>Replacing e-mail/phone/Excel ordering is the documented project goal.</t>
  </si>
  <si>
    <t>01_Requirements/sources/01_interview_event-coordinator_2026-08-15.txt
02_Analysis_and_models/02_process_as-is-order-handling_2026-08-15.md
04_Data/04_dataset_customer-emails_2026-10-20.csv
01_Requirements/sources/01_vision_draft-v0.3_2026-10-20.docx</t>
  </si>
  <si>
    <t>01_interview_event-coordinator_2026-08-15.txt [Q1]: "I have to remember to update both the sheet and the printout. Sometimes I forget."
02_process_as-is-order-handling_2026-08-15.md [step 1]: "Customer sends an e-mail or calls (phone calls are noted on paper)."
04_dataset_customer-emails_2026-10-20.csv [E024]: "Kan jeg fortsatt bestille på telefon?" [translation: Can I still order by phone?]
01_vision_draft-v0.3_2026-10-20.docx [para 1]: "it gives the kitchen one reliable overview of every order and allergy."</t>
  </si>
  <si>
    <t>Assumes phone remains an order channel (ISS-12). Migration of existing Excel orders is not addressed.</t>
  </si>
  <si>
    <t>US-10</t>
  </si>
  <si>
    <t>As the event coordinator, I want a calendar showing booked guests per day against kitchen capacity so that I do not overbook.</t>
  </si>
  <si>
    <t>AC1: Given confirmed orders on a date, when the coordinator opens the calendar, then the total number of guests for that date is shown.
AC2: Given the booked guests for a date exceed the capacity limit, when the calendar is shown, then the date is flagged as over capacity.</t>
  </si>
  <si>
    <t>Clear operational need; booking requests are still reviewed manually.</t>
  </si>
  <si>
    <t>01_Requirements/sources/01_interview_event-coordinator_2026-08-15.txt
02_Analysis_and_models/02_process_as-is-order-handling_2026-08-15.md</t>
  </si>
  <si>
    <t>01_interview_event-coordinator_2026-08-15.txt [Q4]: "A calendar that shows how many guests we already have per day, so I do not overbook. Our kitchen can do about 400 covers a day, 250 if there is a wedding with a served dinner."
02_process_as-is-order-handling_2026-08-15.md [step 3]: "If the day is "full" (gut feeling), she proposes another date."</t>
  </si>
  <si>
    <t>PO REVIEW: becomes Must if online requests are confirmed automatically. Capacity values are approximate ('about'): see ISS-06.</t>
  </si>
  <si>
    <t>US-11</t>
  </si>
  <si>
    <t>As a customer, I want to change the number of guests and allergy information for my order online so that changes reach Ekte Mat without phone calls.</t>
  </si>
  <si>
    <t>AC1: Given an existing order before the change deadline, when the customer changes the number of guests, then the order shows the new number for the coordinator and the kitchen.
AC2: Given a customer adds a guest group with an allergy, when the change is saved, then the kitchen overview shows the allergy for that order.</t>
  </si>
  <si>
    <t>Frequent pain point; not documented as a go-live condition.</t>
  </si>
  <si>
    <t>01_Requirements/sources/01_interview_corporate-customer_2026-08-19.txt
04_Data/04_dataset_customer-emails_2026-10-20.csv
02_Analysis_and_models/02_process_as-is-order-handling_2026-08-15.md
01_Requirements/sources/01_vision_draft-v0.3_2026-10-20.docx</t>
  </si>
  <si>
    <t>01_interview_corporate-customer_2026-08-19.txt [Q2]: "change the number of people until 10:00 the day before"
04_dataset_customer-emails_2026-10-20.csv [E003]: "we need to change from 40 to 55 guests for our event next Thursday. I called yesterday but nobody picked up."
02_process_as-is-order-handling_2026-08-15.md [step 8]: "Changes (guest count, allergies) arrive by phone/e-mail"
01_vision_draft-v0.3_2026-10-20.docx [para 1]: "book and change orders any time"</t>
  </si>
  <si>
    <t>The change deadline is not agreed: 10:00 the day before is one customer's wish, while the vision says 'any time' (ISS-03).</t>
  </si>
  <si>
    <t>US-12</t>
  </si>
  <si>
    <t>As the event coordinator, I want customers to get an automatic reminder seven days before the event to confirm final guest numbers so that I do not have to phone everyone.</t>
  </si>
  <si>
    <t>AC1: Given an event is seven days away, when the daily reminder job runs, then the customer receives a reminder to confirm final guest numbers.
AC2: Given a reminder has been sent, when the coordinator opens the order, then the order shows that the reminder was sent.</t>
  </si>
  <si>
    <t>Reduces manual work; current manual step exists as a fallback.</t>
  </si>
  <si>
    <t>01_interview_event-coordinator_2026-08-15.txt [Q4]: "automatic reminders to customers about final guest numbers seven days before the event."
02_process_as-is-order-handling_2026-08-15.md [step 9]: "7 days before the event the coordinator phones the customer to confirm final numbers (if she has time)."</t>
  </si>
  <si>
    <t>Reminder channel and what happens if the customer does not respond are not documented.</t>
  </si>
  <si>
    <t>US-13</t>
  </si>
  <si>
    <t>As a customer, I want to request cancellation of an order so that Ekte Mat is informed in time.</t>
  </si>
  <si>
    <t>AC1: Given an existing order, when the customer requests cancellation, then the order status shows 'cancellation requested' and the coordinator is notified.
[Only one AC is supported by the evidence; further criteria need PO input.]</t>
  </si>
  <si>
    <t>Single request; cancellation terms are undefined.</t>
  </si>
  <si>
    <t>04_dataset_customer-emails_2026-10-20.csv [E013]: "Unfortunately we have to cancel the dinner on 3 October"</t>
  </si>
  <si>
    <t>UNRESOLVED</t>
  </si>
  <si>
    <t>Cancellation terms and fees are missing (ISS-04). The AC is an ASSUMPTION about the mechanism.</t>
  </si>
  <si>
    <t>US-14</t>
  </si>
  <si>
    <t>As a customer, I want to choose pick-up or delivery and state the delivery time so that the food arrives when and where I need it.</t>
  </si>
  <si>
    <t>AC1: Given a customer selects delivery, when they submit the order, then a delivery address and a requested delivery time are required.
AC2: Given a customer selects pick-up, when they submit the order, then no delivery address is required.</t>
  </si>
  <si>
    <t>Needed for fulfilment, but can be handled through notes at go-live.</t>
  </si>
  <si>
    <t>04_Data/04_dataset_customer-emails_2026-10-20.csv
02_Analysis_and_models/02_process_as-is-order-handling_2026-08-15.md</t>
  </si>
  <si>
    <t>04_dataset_customer-emails_2026-10-20.csv [E014]: "Kan vi hente maten selv i stedet for levering?" [translation: Can we collect the food ourselves instead of having it delivered?]
04_dataset_customer-emails_2026-10-20.csv [E018]: "Can you deliver between 10:45 and 11:00 exactly?"
02_process_as-is-order-handling_2026-08-15.md [step 10]: "Driver gets the address from the printout."</t>
  </si>
  <si>
    <t>Delivery area, fees and time-window precision are not documented. Driver needs are not elicited (ISS-13).</t>
  </si>
  <si>
    <t>US-15</t>
  </si>
  <si>
    <t>EP-03</t>
  </si>
  <si>
    <t>Kitchen operations</t>
  </si>
  <si>
    <t>As the head chef, I want a daily overview on a kitchen wall tablet showing orders, portions per dish and allergies in red so that the kitchen prepares the right food safely.</t>
  </si>
  <si>
    <t>AC1: Given confirmed orders for a day, when the chef opens the day view, then each order and the total portions of each dish are shown.
AC2: Given an order contains allergy or diet information, when it is displayed, then that information is shown in red.</t>
  </si>
  <si>
    <t>The owner and the vision require a kitchen order overview; it replaces printouts.</t>
  </si>
  <si>
    <t>01_Requirements/sources/01_interview_head-chef_2026-08-15.txt
01_Requirements/sources/01_interview_owner_2026-08-14.txt
02_Analysis_and_models/02_process_as-is-order-handling_2026-08-15.md
04_Data/04_dataset_customer-emails_2026-10-20.csv</t>
  </si>
  <si>
    <t>01_interview_head-chef_2026-08-15.txt [Q1]: "For each day: which orders, how many portions of each dish, allergies in red."
01_interview_owner_2026-08-14.txt [Q2]: "I want a proper order overview for the kitchen"
02_process_as-is-order-handling_2026-08-15.md [step 7]: "Coordinator prints the order and pins it on the kitchen board."
04_dataset_customer-emails_2026-10-20.csv [E017]: "The note said 'V x4' but nothing came."</t>
  </si>
  <si>
    <t>Depends on NFR-03 (offline) and NFR-13 (device). E017 supports clear diet visibility (INFERRED).</t>
  </si>
  <si>
    <t>US-16</t>
  </si>
  <si>
    <t>As the event coordinator, I want the kitchen to confirm that it has seen each order's allergy information so that allergies are not missed.</t>
  </si>
  <si>
    <t>AC1: Given an order with allergy information, when a kitchen user confirms it, then the confirmation is recorded with time and user.
AC2: Given an order's allergy information has not been confirmed, when the coordinator views the order, then it is marked as unconfirmed.</t>
  </si>
  <si>
    <t>Stated as mandatory after a near-miss nut incident in 2024; customers ask for this assurance.</t>
  </si>
  <si>
    <t>01_Requirements/sources/01_interview_event-coordinator_2026-08-15.txt
04_Data/04_dataset_customer-emails_2026-10-20.csv</t>
  </si>
  <si>
    <t>01_interview_event-coordinator_2026-08-15.txt [Q5]: "the kitchen must confirm they have seen it. We had a nut incident in 2024 - nobody was hurt, but it was close."
04_dataset_customer-emails_2026-10-20.csv [E002]: "Kan dere bekrefte at kjøkkenet har fått beskjed?" [translation: Can you confirm that the kitchen has been informed?]</t>
  </si>
  <si>
    <t>PO REVIEW: Must is based on safety evidence, not on a stated go-live condition. Whether a later allergy change resets the confirmation is an ASSUMPTION to confirm.</t>
  </si>
  <si>
    <t>US-17</t>
  </si>
  <si>
    <t>As a kitchen staff member, I want to log in to the kitchen tablet with a PIN so that I can use it quickly while working.</t>
  </si>
  <si>
    <t>AC1: Given the kitchen tablet, when a user enters a valid PIN, then the kitchen view opens.
AC2: Given an invalid PIN is entered, when the user submits it, then access is denied.</t>
  </si>
  <si>
    <t>Usability need for the kitchen view; not a go-live condition on its own.</t>
  </si>
  <si>
    <t>01_interview_head-chef_2026-08-15.txt [Q1]: "I do not want to log in with long passwords with flour on my hands - a PIN is fine."</t>
  </si>
  <si>
    <t>PIN length, lock-out rules and the security of health data access are not documented (ISS-14).</t>
  </si>
  <si>
    <t>US-18</t>
  </si>
  <si>
    <t>As the head chef, I want to edit the menu myself so that seasonal changes are published without help.</t>
  </si>
  <si>
    <t>AC1: Given the chef is logged in with menu rights, when he changes a dish and saves, then the published menu shows the change.
[Only one AC is supported by the evidence; further criteria need PO input.]</t>
  </si>
  <si>
    <t>Menus change four times a year; the first change can be handled by the team.</t>
  </si>
  <si>
    <t>01_Requirements/sources/01_interview_head-chef_2026-08-15.txt
03_Architecture/03_landscape_current-it_2026-10-20.txt</t>
  </si>
  <si>
    <t>01_interview_head-chef_2026-08-15.txt [Q2]: "Menus change with the season, four times a year. I want to edit the menu myself"
03_landscape_current-it_2026-10-20.txt [Constraints]: "nobody technical in-house"</t>
  </si>
  <si>
    <t>Who may change prices is not documented. Related to NFR-12.</t>
  </si>
  <si>
    <t>US-19</t>
  </si>
  <si>
    <t>As the head chef, I want ingredients to be linked to suppliers so that dish origin can be shown to customers.</t>
  </si>
  <si>
    <t>AC1: Given a supplier is registered, when the chef links an ingredient to it, then dishes using that ingredient show the supplier as origin.
[Only one AC is supported by the evidence; further criteria need PO input.]</t>
  </si>
  <si>
    <t>Enables US-05 (Should); not a go-live condition.</t>
  </si>
  <si>
    <t>01_interview_head-chef_2026-08-15.txt [Q2]: "ingredients should be linked to suppliers, so we can show origin like Ingrid wants."</t>
  </si>
  <si>
    <t>Supplier data fields are not defined.</t>
  </si>
  <si>
    <t>US-20</t>
  </si>
  <si>
    <t>As the head chef, I want a prep list with total kilos of each ingredient for the next three days so that I can plan purchasing and preparation.</t>
  </si>
  <si>
    <t>AC1: Given confirmed orders for the next three days, when the chef opens the prep list, then the total kilos of each ingredient are shown.
[Only one AC is supported by the evidence; further criteria need PO input.]</t>
  </si>
  <si>
    <t>Useful, but depends on recipe quantity data that does not exist in the evidence.</t>
  </si>
  <si>
    <t>01_interview_head-chef_2026-08-15.txt [Q2]: "I need a prep list: total kilos of each ingredient for the next three days."</t>
  </si>
  <si>
    <t>Requires ingredient quantities per portion (missing evidence, ISS-15).</t>
  </si>
  <si>
    <t>US-21</t>
  </si>
  <si>
    <t>EP-04</t>
  </si>
  <si>
    <t>Payments and invoicing</t>
  </si>
  <si>
    <t>As a private customer, I want to pay with Vipps and get a receipt by e-mail so that payment is easy and documented.</t>
  </si>
  <si>
    <t>AC1: Given a private customer's order, when they choose to pay, then Vipps is offered as a payment method.
AC2: Given a Vipps payment is completed, when the order is updated, then it is marked as paid and the customer receives a receipt by e-mail.</t>
  </si>
  <si>
    <t>Kick-off states the system must integrate with Vipps; the owner insists on it.</t>
  </si>
  <si>
    <t>01_interview_owner_2026-08-14.txt [Q3]: "Vipps for private customers, definitely."
00_minutes_kickoff-meeting_2026-08-12.txt [bullet 2]: "Must integrate with Fiken (accounting) and Vipps (payments)."
04_dataset_customer-emails_2026-10-20.csv [E009]: "Kan jeg betale med Vipps for bursdag 30 pers? Og kan jeg få kvittering på e-post?" [translation: Can I pay with Vipps for a birthday party of 30? And can I get a receipt by e-mail?]</t>
  </si>
  <si>
    <t>Vipps agreement and API details are external dependencies (ISS-09). The e-mail receipt is from one customer request.</t>
  </si>
  <si>
    <t>US-22</t>
  </si>
  <si>
    <t>As the owner, I want a deposit to be required for defined booking types so that no-shows are reduced.</t>
  </si>
  <si>
    <t>AC1: Given a booking of a type that requires a deposit, when the booking is made, then a deposit request is issued and the booking stays unconfirmed until it is paid.
[Only one AC is supported by the evidence; further criteria need PO input.]</t>
  </si>
  <si>
    <t>Scope is in conflict (all bookings vs weddings only); priority depends on the PO decision.</t>
  </si>
  <si>
    <t>01_Requirements/sources/01_interview_owner_2026-08-14.txt
01_Requirements/sources/01_interview_event-coordinator_2026-08-15.txt
01_Requirements/sources/01_interview_corporate-customer_2026-08-19.txt
02_Analysis_and_models/02_process_as-is-order-handling_2026-08-15.md</t>
  </si>
  <si>
    <t>01_interview_owner_2026-08-14.txt [Q2]: "I want the system to take a 30 % deposit when someone books - no deposit, no booking."
01_interview_event-coordinator_2026-08-15.txt [Q3]: "Honestly, corporate clients hate prepayment."
01_interview_event-coordinator_2026-08-15.txt [Q3]: "For weddings a deposit makes sense."
01_interview_corporate-customer_2026-08-19.txt [Q3]: "We cannot prepay, our finance department does not allow it."
02_process_as-is-order-handling_2026-08-15.md [step 6]: "For weddings, the coordinator sends a Vipps payment request for a deposit (sometimes forgotten)."</t>
  </si>
  <si>
    <t>PO REVIEW: see ISS-01. Likely Must for weddings if scope is confirmed: wedding bookings for May 2027 will be made before go-live. Refund rules are not documented.</t>
  </si>
  <si>
    <t>US-23</t>
  </si>
  <si>
    <t>As a corporate customer, I want one EHF invoice per month with my reference (cost centre or PO number) on each line so that our finance department can process it.</t>
  </si>
  <si>
    <t>AC1: Given a corporate customer on monthly invoicing, when the month is closed, then one EHF invoice containing all that month's orders is produced.
AC2: Given an order has a customer reference, when the invoice is produced, then the reference appears on that invoice line.</t>
  </si>
  <si>
    <t>Corporate customers cannot prepay and reject PDF invoices; losing them is a documented risk.</t>
  </si>
  <si>
    <t>01_Requirements/sources/01_interview_corporate-customer_2026-08-19.txt
01_Requirements/sources/01_interview_event-coordinator_2026-08-15.txt
04_Data/04_dataset_customer-emails_2026-10-20.csv
03_Architecture/03_landscape_current-it_2026-10-20.txt</t>
  </si>
  <si>
    <t>01_interview_corporate-customer_2026-08-19.txt [Q3]: "One EHF invoice per month, with our cost-centre code on each line."
01_interview_event-coordinator_2026-08-15.txt [Q3]: "Fjordtek and the other big firms want one invoice per month with all their lunches on it, sent as EHF."
04_dataset_customer-emails_2026-10-20.csv [E004]: "our finance department only accepts EHF invoices with our PO number. Last invoice was a PDF by e-mail and was rejected."
04_dataset_customer-emails_2026-10-20.csv [E016]: "Can we have separate logins but one monthly invoice?"
03_landscape_current-it_2026-10-20.txt [Accounting]: "Fiken (has a REST API; supports EHF invoices)"</t>
  </si>
  <si>
    <t>PO REVIEW: Must is INFERRED from the documented risk of losing corporate customers. Different customers use different references (cost centre vs PO number).</t>
  </si>
  <si>
    <t>US-24</t>
  </si>
  <si>
    <t>As the owner, I want invoices for orders to be created in Fiken from the order data so that the coordinator no longer creates invoices manually.</t>
  </si>
  <si>
    <t>AC1: Given an order is completed and invoiced, when the invoice is created, then it appears in Fiken with the order lines.
AC2: Given an invoice created through the system, when it is viewed in Fiken, then it can be traced to its order number.</t>
  </si>
  <si>
    <t>Kick-off states the system must integrate with Fiken; the owner will not change accounting system.</t>
  </si>
  <si>
    <t>00_Project_management/00_minutes_kickoff-meeting_2026-08-12.txt
01_Requirements/sources/01_interview_owner_2026-08-14.txt
02_Analysis_and_models/02_process_as-is-order-handling_2026-08-15.md</t>
  </si>
  <si>
    <t>00_minutes_kickoff-meeting_2026-08-12.txt [bullet 2]: "Must integrate with Fiken (accounting) and Vipps (payments)."
01_interview_owner_2026-08-14.txt [Q3]: "We use Fiken for accounting today and I do not want to change that."
02_process_as-is-order-handling_2026-08-15.md [step 11]: "After the event the coordinator creates an invoice in Fiken manually"
02_process_as-is-order-handling_2026-08-15.md [step 12]: "Once a month the owner reconciles Fiken with the Excel sheet."</t>
  </si>
  <si>
    <t>Fiken API coverage (invoice creation, payment status) must be confirmed (ISS-05). The traceability AC is an ASSUMPTION.</t>
  </si>
  <si>
    <t>US-25</t>
  </si>
  <si>
    <t>EP-05</t>
  </si>
  <si>
    <t>Corporate customer accounts</t>
  </si>
  <si>
    <t>As a corporate customer, I want a company account where several colleagues can log in and order so that we do not depend on one person sending e-mails.</t>
  </si>
  <si>
    <t>AC1: Given a company account with several users, when any user places an order, then the order is linked to the company account.
AC2: Given a user of the company account logs in, when they open the order list, then they see the company's orders, including standing orders.</t>
  </si>
  <si>
    <t>Valuable for the largest customer segment; e-mail/coordinator entry still works at go-live.</t>
  </si>
  <si>
    <t>01_interview_corporate-customer_2026-08-19.txt [Q2]: "A login for our company where I can see our standing orders"
01_interview_corporate-customer_2026-08-19.txt [Q2]: "Several of my colleagues should be able to order"
04_dataset_customer-emails_2026-10-20.csv [E016]: "Three of us order lunches for different departments. Can we have separate logins but one monthly invoice?"</t>
  </si>
  <si>
    <t>User administration (who adds users) and visibility between departments are not documented.</t>
  </si>
  <si>
    <t>US-26</t>
  </si>
  <si>
    <t>As a corporate customer's office manager, I want orders above 15 000 NOK to require my approval so that large spending is controlled.</t>
  </si>
  <si>
    <t>AC1: Given a user who is not the approver places an order above 15 000 NOK, when it is submitted, then it stays pending until the approver approves it.
AC2: Given an order of 15 000 NOK or less, when it is submitted, then no approval is required.</t>
  </si>
  <si>
    <t>One customer's internal control rule; not linked to go-live needs.</t>
  </si>
  <si>
    <t>01_interview_corporate-customer_2026-08-19.txt [Q2]: "only I should approve anything above 15 000 NOK."</t>
  </si>
  <si>
    <t>PO REVIEW: confirm whether the threshold is per customer and configurable (ISS-08). Whether 'above' includes VAT is unknown.</t>
  </si>
  <si>
    <t>US-27</t>
  </si>
  <si>
    <t>As a corporate customer, I want to set up standing (recurring) orders so that I do not have to e-mail the same order every week.</t>
  </si>
  <si>
    <t>AC1: Given a weekly standing order, when a new week starts, then an order for that week is created with the standing quantities.
AC2: Given a company user logs in, when they open standing orders, then all active standing orders are listed.</t>
  </si>
  <si>
    <t>Repeatedly requested by corporate customers; can be handled manually at go-live.</t>
  </si>
  <si>
    <t>01_interview_corporate-customer_2026-08-19.txt [Q2]: "see our standing orders"
01_interview_corporate-customer_2026-08-19.txt [Q1]: "I send an e-mail every Thursday with next week's lunch meetings."
04_dataset_customer-emails_2026-10-20.csv [E007]: "Could we set up a standing order: lunch for 12 every Tuesday, vegetarian option for 3?"</t>
  </si>
  <si>
    <t>How far ahead standing orders are generated and how exceptions (holidays) are handled is not documented.</t>
  </si>
  <si>
    <t>US-28</t>
  </si>
  <si>
    <t>As a returning customer, I want to copy a previous order so that I can reorder without re-entering the details.</t>
  </si>
  <si>
    <t>AC1: Given a previous order, when the customer chooses to copy it, then a new draft order with the same items and guest groups is created for a new date.
[Only one AC is supported by the evidence; further criteria need PO input.]</t>
  </si>
  <si>
    <t>Requested by two independent sources; not a go-live condition.</t>
  </si>
  <si>
    <t>01_interview_corporate-customer_2026-08-19.txt [Q2]: "copy last week's order"
04_dataset_customer-emails_2026-10-20.csv [E028]: "Could we just get exactly the same as our order in September? I don't have the details anymore."</t>
  </si>
  <si>
    <t>Behaviour when a copied dish is no longer on the seasonal menu is not documented.</t>
  </si>
  <si>
    <t>US-29</t>
  </si>
  <si>
    <t>As a corporate customer, I want our accountant to have read-only access to our invoices and order history so that they can check them without asking us.</t>
  </si>
  <si>
    <t>AC1: Given a user with read-only access, when they log in, then they can view invoices and order history but cannot create or change orders.
[Only one AC is supported by the evidence; further criteria need PO input.]</t>
  </si>
  <si>
    <t>Single request; low urgency.</t>
  </si>
  <si>
    <t>04_dataset_customer-emails_2026-10-20.csv [E029]: "Can our accountant get read-only access to our invoices and order history?"</t>
  </si>
  <si>
    <t>Depends on US-25 (company accounts).</t>
  </si>
  <si>
    <t>US-30</t>
  </si>
  <si>
    <t>EP-06</t>
  </si>
  <si>
    <t>Privacy and data-subject rights</t>
  </si>
  <si>
    <t>As a customer, I want to request access to the personal data Ekte Mat holds about me so that I can see what is stored.</t>
  </si>
  <si>
    <t>AC1: Given a customer submits an access request, when the coordinator processes it, then the customer's personal data held in the system can be exported for the customer.
[Only one AC is supported by the evidence; further criteria need PO input.]</t>
  </si>
  <si>
    <t>Documented obligation in the GDPR advice; applies from go-live because personal data is stored from day one.</t>
  </si>
  <si>
    <t>01_note_gdpr-consultant_2026-08-20.txt [bullet 3]: "Customers must be able to request access and deletion."</t>
  </si>
  <si>
    <t>Response deadline and identity verification are not documented (ISS-16). The export mechanism in the AC is an ASSUMPTION.</t>
  </si>
  <si>
    <t>US-31</t>
  </si>
  <si>
    <t>As a customer, I want my personal data to be deleted when I ask, or when my company stops being a customer, so that my privacy is respected.</t>
  </si>
  <si>
    <t>AC1: Given a deletion request, when it is processed, then the customer's personal data is deleted except data that must be kept for bookkeeping, and the customer receives a confirmation.
AC2: Given a corporate customer relationship ends, when the deletion process runs, then the names of that company's employees are deleted.</t>
  </si>
  <si>
    <t>Documented obligation in the GDPR advice and a corporate customer requirement.</t>
  </si>
  <si>
    <t>01_Requirements/sources/01_note_gdpr-consultant_2026-08-20.txt
04_Data/04_dataset_customer-emails_2026-10-20.csv
01_Requirements/sources/01_interview_corporate-customer_2026-08-19.txt</t>
  </si>
  <si>
    <t>01_note_gdpr-consultant_2026-08-20.txt [bullet 3]: "Customers must be able to request access and deletion."
01_note_gdpr-consultant_2026-08-20.txt [bullet 2]: "Keep order data needed for bookkeeping 5 years (Norwegian Bookkeeping Act)"
04_dataset_customer-emails_2026-10-20.csv [E010]: "Please delete all personal data you have about me and confirm by e-mail."
01_interview_corporate-customer_2026-08-19.txt [Q4]: "they want to know that you delete our employees' names when we stop being a customer."</t>
  </si>
  <si>
    <t>Deletion deadlines are missing (NFR-08, ISS-07). E010 is a real pending request in the current process; it is outside the system scope but should be handled now.</t>
  </si>
  <si>
    <t>Requirement ID</t>
  </si>
  <si>
    <t>Quality Characteristic</t>
  </si>
  <si>
    <t>Requirement Statement</t>
  </si>
  <si>
    <t>Metric</t>
  </si>
  <si>
    <t>Target Value</t>
  </si>
  <si>
    <t>Unit</t>
  </si>
  <si>
    <t>Measurement Conditions/Verification Method</t>
  </si>
  <si>
    <t>Assumptions/Unresolved Details</t>
  </si>
  <si>
    <t>NFR-01</t>
  </si>
  <si>
    <t>Performance efficiency (time behaviour)</t>
  </si>
  <si>
    <t>Customer-facing pages shall load fast enough not to deter customers. CANDIDATE: no target agreed.</t>
  </si>
  <si>
    <t>Page load time</t>
  </si>
  <si>
    <t>TBC (not agreed)</t>
  </si>
  <si>
    <t>s</t>
  </si>
  <si>
    <t>To be defined once a target and test conditions (device, network, page set) are agreed.</t>
  </si>
  <si>
    <t>01_interview_head-chef_2026-08-15.txt [Q4]: "Please do not make it slow. The old booking plugin on the website took ten seconds to load a page."</t>
  </si>
  <si>
    <t>10 s is the unacceptable baseline, not a target. Question in ISS-10.</t>
  </si>
  <si>
    <t>NFR-02</t>
  </si>
  <si>
    <t>Availability</t>
  </si>
  <si>
    <t>Customers shall be able to view menus and send booking requests at any hour. CANDIDATE: availability target missing.</t>
  </si>
  <si>
    <t>Availability of menu and booking functions</t>
  </si>
  <si>
    <t>% per month</t>
  </si>
  <si>
    <t>To be defined: measurement period, maintenance windows, monitoring method.</t>
  </si>
  <si>
    <t>01_Requirements/sources/01_interview_owner_2026-08-14.txt</t>
  </si>
  <si>
    <t>01_interview_owner_2026-08-14.txt [Q2]: "send a booking request themselves, at any hour."</t>
  </si>
  <si>
    <t>'At any hour' gives no numeric target. Question in ISS-11.</t>
  </si>
  <si>
    <t>NFR-03</t>
  </si>
  <si>
    <t>Reliability (fault tolerance)</t>
  </si>
  <si>
    <t>The kitchen view shall still show today's orders during an internet outage.</t>
  </si>
  <si>
    <t>Today's orders viewable on the kitchen device with the network disconnected</t>
  </si>
  <si>
    <t>All of today's orders as of the last successful update</t>
  </si>
  <si>
    <t>orders</t>
  </si>
  <si>
    <t>Test: load the kitchen view, disconnect the network, verify that all of today's orders remain visible.</t>
  </si>
  <si>
    <t>01_interview_head-chef_2026-08-15.txt [Q3]: "It happened twice last winter. The kitchen must still see today's orders. Printing works too, but the screen should not just go blank."</t>
  </si>
  <si>
    <t>Acceptable data age and whether changes are possible offline are not documented.</t>
  </si>
  <si>
    <t>NFR-04</t>
  </si>
  <si>
    <t>Security / privacy (data residency)</t>
  </si>
  <si>
    <t>Personal data shall be stored and processed only in the EU/EEA.</t>
  </si>
  <si>
    <t>Share of personal data stored or processed in the EU/EEA</t>
  </si>
  <si>
    <t>100</t>
  </si>
  <si>
    <t>%</t>
  </si>
  <si>
    <t>Review of hosting locations and sub-processors listed in each provider's data processing agreement.</t>
  </si>
  <si>
    <t>03_Architecture/03_landscape_current-it_2026-10-20.txt
01_Requirements/sources/01_interview_corporate-customer_2026-08-19.txt</t>
  </si>
  <si>
    <t>03_landscape_current-it_2026-10-20.txt [Constraints]: "data must stay in EU/EEA (GDPR)"
01_interview_corporate-customer_2026-08-19.txt [Q4]: "They want it in the EU/EEA"</t>
  </si>
  <si>
    <t>100 % follows from 'must stay'. Not a claim of legal compliance.</t>
  </si>
  <si>
    <t>NFR-05</t>
  </si>
  <si>
    <t>Privacy (data minimisation)</t>
  </si>
  <si>
    <t>Allergy and dietary information shall be stored per guest group, not per named guest, unless strictly needed.</t>
  </si>
  <si>
    <t>Data fields linking allergy or diet data to a named guest</t>
  </si>
  <si>
    <t>0 (unless a documented exception exists)</t>
  </si>
  <si>
    <t>fields</t>
  </si>
  <si>
    <t>Data-model review before release.</t>
  </si>
  <si>
    <t>01_note_gdpr-consultant_2026-08-20.txt [bullet 1]: "Allergy and dietary information about named persons can be health data (special category, GDPR art. 9). Store per guest group, not per named guest, unless strictly needed."</t>
  </si>
  <si>
    <t>Expressing this as a field count is an interpretation. 'Strictly needed' exceptions are undefined.</t>
  </si>
  <si>
    <t>NFR-06</t>
  </si>
  <si>
    <t>Privacy (retention)</t>
  </si>
  <si>
    <t>Order data needed for bookkeeping shall be kept for 5 years.</t>
  </si>
  <si>
    <t>Retention period for bookkeeping order data</t>
  </si>
  <si>
    <t>5</t>
  </si>
  <si>
    <t>years</t>
  </si>
  <si>
    <t>Review of retention configuration; test that bookkeeping data survives a deletion request.</t>
  </si>
  <si>
    <t>01_note_gdpr-consultant_2026-08-20.txt [bullet 2]: "Keep order data needed for bookkeeping 5 years (Norwegian Bookkeeping Act)"</t>
  </si>
  <si>
    <t>Based on a phone note from the consultant; not legally verified here. Start of the period and the exact fields are undefined.</t>
  </si>
  <si>
    <t>NFR-07</t>
  </si>
  <si>
    <t>Personal data not needed for bookkeeping shall have a shorter retention period. CANDIDATE: period missing.</t>
  </si>
  <si>
    <t>Retention period for other personal data</t>
  </si>
  <si>
    <t>TBC (shorter than 5 years)</t>
  </si>
  <si>
    <t>months</t>
  </si>
  <si>
    <t>To be defined.</t>
  </si>
  <si>
    <t>01_note_gdpr-consultant_2026-08-20.txt [bullet 2]: "other personal data should have a shorter retention period."</t>
  </si>
  <si>
    <t>Retention period not stated. Question in ISS-07.</t>
  </si>
  <si>
    <t>NFR-08</t>
  </si>
  <si>
    <t>Privacy (deletion)</t>
  </si>
  <si>
    <t>Employee names of a corporate customer shall be deleted when the customer relationship ends. CANDIDATE: deadline missing.</t>
  </si>
  <si>
    <t>Time from end of customer relationship to deletion</t>
  </si>
  <si>
    <t>days</t>
  </si>
  <si>
    <t>01_interview_corporate-customer_2026-08-19.txt [Q4]: "they want to know that you delete our employees' names when we stop being a customer."</t>
  </si>
  <si>
    <t>Deadline and the definition of 'stop being a customer' are missing. Question in ISS-07.</t>
  </si>
  <si>
    <t>NFR-09</t>
  </si>
  <si>
    <t>Security / compliance (contracts)</t>
  </si>
  <si>
    <t>A data processing agreement shall exist with every cloud or SaaS provider that processes personal data.</t>
  </si>
  <si>
    <t>Share of such providers with a signed data processing agreement</t>
  </si>
  <si>
    <t>Contract register check before go-live.</t>
  </si>
  <si>
    <t>01_note_gdpr-consultant_2026-08-20.txt [bullet 4]: "A data processing agreement is needed with any cloud/SaaS provider."</t>
  </si>
  <si>
    <t>Applies to Vipps, Fiken, hosting and e-mail providers as relevant (INFERRED).</t>
  </si>
  <si>
    <t>NFR-10</t>
  </si>
  <si>
    <t>Usability (localisation)</t>
  </si>
  <si>
    <t>The user interface shall be available in Norwegian and English.</t>
  </si>
  <si>
    <t>Supported UI languages</t>
  </si>
  <si>
    <t>2 (Norwegian, English)</t>
  </si>
  <si>
    <t>languages</t>
  </si>
  <si>
    <t>Review of all customer-facing screens in both languages.</t>
  </si>
  <si>
    <t>03_Architecture/03_landscape_current-it_2026-10-20.txt
04_Data/04_dataset_customer-emails_2026-10-20.csv</t>
  </si>
  <si>
    <t>03_landscape_current-it_2026-10-20.txt [Constraints]: "Norwegian and English UI."
04_dataset_customer-emails_2026-10-20.csv [E012]: "Is your menu available in English with allergens marked?"</t>
  </si>
  <si>
    <t>Scope (customer-facing only, or also kitchen and admin views) is unresolved (ISS-19).</t>
  </si>
  <si>
    <t>NFR-11</t>
  </si>
  <si>
    <t>Cost (operational constraint)</t>
  </si>
  <si>
    <t>Running costs of the solution shall stay below 3 000 NOK per month.</t>
  </si>
  <si>
    <t>Monthly running cost</t>
  </si>
  <si>
    <t>&lt; 3 000</t>
  </si>
  <si>
    <t>NOK/month</t>
  </si>
  <si>
    <t>Sum of monthly hosting, licence and SaaS invoices after go-live.</t>
  </si>
  <si>
    <t>00_Project_management/00_plan_budget-and-constraints_2026-10-20.txt
03_Architecture/03_landscape_current-it_2026-10-20.txt</t>
  </si>
  <si>
    <t>00_plan_budget-and-constraints_2026-10-20.txt [Running cost]: "Running cost target: &lt; 3 000 NOK/month"
03_landscape_current-it_2026-10-20.txt [Constraints]: "prefer low running cost (&lt; 3 000 NOK/month)"</t>
  </si>
  <si>
    <t>Project constraint rather than a product quality. Whether transaction fees (e.g. Vipps) count is not documented.</t>
  </si>
  <si>
    <t>NFR-12</t>
  </si>
  <si>
    <t>Maintainability / operability</t>
  </si>
  <si>
    <t>Day-to-day content (e.g. menus) shall be manageable by non-technical staff. CANDIDATE: no measurable target.</t>
  </si>
  <si>
    <t>TBC</t>
  </si>
  <si>
    <t>To be defined, e.g. through a usability test with staff once tasks and criteria are agreed.</t>
  </si>
  <si>
    <t>03_Architecture/03_landscape_current-it_2026-10-20.txt
01_Requirements/sources/01_interview_head-chef_2026-08-15.txt</t>
  </si>
  <si>
    <t>03_landscape_current-it_2026-10-20.txt [Constraints]: "nobody technical in-house"
01_interview_head-chef_2026-08-15.txt [Q2]: "I want to edit the menu myself"</t>
  </si>
  <si>
    <t>No metric or threshold is documented.</t>
  </si>
  <si>
    <t>NFR-13</t>
  </si>
  <si>
    <t>Compatibility</t>
  </si>
  <si>
    <t>The kitchen view shall run on a wall-mounted tablet.</t>
  </si>
  <si>
    <t>Supported kitchen device</t>
  </si>
  <si>
    <t>TBC (device and OS not specified)</t>
  </si>
  <si>
    <t>device</t>
  </si>
  <si>
    <t>Test on the selected device.</t>
  </si>
  <si>
    <t>01_interview_head-chef_2026-08-15.txt [Q1]: "Tablet on the wall."
03_landscape_current-it_2026-10-20.txt [Kitchen]: "one old iPad nobody uses"</t>
  </si>
  <si>
    <t>INFERRED</t>
  </si>
  <si>
    <t>Whether the existing iPad should be reused is not stated.</t>
  </si>
  <si>
    <t>Issue ID</t>
  </si>
  <si>
    <t>Issue Type</t>
  </si>
  <si>
    <t>Topic</t>
  </si>
  <si>
    <t>Description</t>
  </si>
  <si>
    <t>Stakeholder/Source A and Position</t>
  </si>
  <si>
    <t>Stakeholder/Source B and Position</t>
  </si>
  <si>
    <t>Potential Impact</t>
  </si>
  <si>
    <t>Specific Product-Owner Question</t>
  </si>
  <si>
    <t>Decision Owner (if evidenced)</t>
  </si>
  <si>
    <t>Status</t>
  </si>
  <si>
    <t>ISS-01</t>
  </si>
  <si>
    <t>Conflict</t>
  </si>
  <si>
    <t>Deposit / prepayment</t>
  </si>
  <si>
    <t>The owner wants a 30 % deposit on every booking; the event coordinator and the corporate customer say corporate customers cannot or will not prepay.</t>
  </si>
  <si>
    <t>Owner (01_interview_owner): 30 % deposit for every booking, 'no deposit, no booking'.</t>
  </si>
  <si>
    <t>Event coordinator and corporate customer: no prepayment for corporate customers; deposit acceptable for weddings.</t>
  </si>
  <si>
    <t>01_Requirements/sources/01_interview_owner_2026-08-14.txt
01_Requirements/sources/01_interview_event-coordinator_2026-08-15.txt
01_Requirements/sources/01_interview_corporate-customer_2026-08-19.txt</t>
  </si>
  <si>
    <t>01_interview_owner_2026-08-14.txt [Q2]: "I want the system to take a 30 % deposit when someone books - no deposit, no booking."
01_interview_event-coordinator_2026-08-15.txt [Q3]: "If we force a deposit on them, we will lose them. For weddings a deposit makes sense."
01_interview_corporate-customer_2026-08-19.txt [Q3]: "We cannot prepay, our finance department does not allow it."</t>
  </si>
  <si>
    <t>Affects US-22 and US-23. Risk of losing corporate customers, or of continued no-shows.</t>
  </si>
  <si>
    <t>Which booking types require the 30 % deposit: (a) all, (b) weddings only, (c) all except corporate customers on monthly invoicing? What are the refund rules?</t>
  </si>
  <si>
    <t>Ingrid Solheim (product owner, per 00_minutes bullet 5)</t>
  </si>
  <si>
    <t>Open</t>
  </si>
  <si>
    <t>ISS-02</t>
  </si>
  <si>
    <t>Open Question</t>
  </si>
  <si>
    <t>Build vs buy</t>
  </si>
  <si>
    <t>Kick-off left open whether to build a custom system or configure a catering SaaS.</t>
  </si>
  <si>
    <t>Kick-off minutes: open question.</t>
  </si>
  <si>
    <t>-</t>
  </si>
  <si>
    <t>00_minutes_kickoff-meeting_2026-08-12.txt [bullet 8]: "Open question: build our own system or configure an off-the-shelf catering SaaS?"</t>
  </si>
  <si>
    <t>Affects architecture, cost (NFR-11), data processing agreements (NFR-09) and all stories.</t>
  </si>
  <si>
    <t>Will the team build its own system or configure a catering SaaS? By which sprint must this be decided?</t>
  </si>
  <si>
    <t>Not evidenced</t>
  </si>
  <si>
    <t>ISS-03</t>
  </si>
  <si>
    <t>Order change deadline</t>
  </si>
  <si>
    <t>No company-wide deadline for customer changes exists. One customer wants changes until 10:00 the day before; the vision says 'change orders any time'.</t>
  </si>
  <si>
    <t>Corporate customer: changes until 10:00 the day before.</t>
  </si>
  <si>
    <t>Vision draft v0.3: 'book and change orders any time'.</t>
  </si>
  <si>
    <t>01_Requirements/sources/01_interview_corporate-customer_2026-08-19.txt
01_Requirements/sources/01_vision_draft-v0.3_2026-10-20.docx</t>
  </si>
  <si>
    <t>01_interview_corporate-customer_2026-08-19.txt [Q2]: "change the number of people until 10:00 the day before"
01_vision_draft-v0.3_2026-10-20.docx [para 1]: "book and change orders any time"</t>
  </si>
  <si>
    <t>Affects US-11 and kitchen planning.</t>
  </si>
  <si>
    <t>What is the latest time a customer may change guest numbers or allergies, and does it differ for lunches and events?</t>
  </si>
  <si>
    <t>ISS-04</t>
  </si>
  <si>
    <t>Missing Evidence</t>
  </si>
  <si>
    <t>Cancellation terms</t>
  </si>
  <si>
    <t>A customer asks for cancellation terms; none are documented.</t>
  </si>
  <si>
    <t>Customer e-mail E013: asks for terms.</t>
  </si>
  <si>
    <t>04_dataset_customer-emails_2026-10-20.csv [E013]: "What are your cancellation terms?"</t>
  </si>
  <si>
    <t>US-13 cannot be fully specified.</t>
  </si>
  <si>
    <t>What are the cancellation deadlines and fees for each booking type?</t>
  </si>
  <si>
    <t>ISS-05</t>
  </si>
  <si>
    <t>Dependency</t>
  </si>
  <si>
    <t>Fiken and EHF</t>
  </si>
  <si>
    <t>Invoice creation, EHF sending and payment-status updates depend on Fiken's API. A customer received a wrong payment reminder.</t>
  </si>
  <si>
    <t>IT landscape: Fiken has a REST API and supports EHF.</t>
  </si>
  <si>
    <t>Customer e-mail E030: wrong payment reminder.</t>
  </si>
  <si>
    <t>03_landscape_current-it_2026-10-20.txt [Accounting]: "Fiken (has a REST API; supports EHF invoices)"
04_dataset_customer-emails_2026-10-20.csv [E030]: "We received a payment reminder for an invoice we paid on 2 Sept."</t>
  </si>
  <si>
    <t>Affects US-23 and US-24.</t>
  </si>
  <si>
    <t>Can the team get test access to Fiken's API, and should payment status be read back from Fiken into the system?</t>
  </si>
  <si>
    <t>ISS-06</t>
  </si>
  <si>
    <t>Capacity rule</t>
  </si>
  <si>
    <t>Capacity is described as 'about 400 covers a day, 250 if there is a wedding with a served dinner'. It is unclear whether this is a hard limit or a warning.</t>
  </si>
  <si>
    <t>Event coordinator: approximate limits.</t>
  </si>
  <si>
    <t>01_interview_event-coordinator_2026-08-15.txt [Q4]: "Our kitchen can do about 400 covers a day, 250 if there is a wedding with a served dinner."</t>
  </si>
  <si>
    <t>Affects US-03 and US-10.</t>
  </si>
  <si>
    <t>Are 400 and 250 covers per day hard limits that block bookings, or warnings to the coordinator? Who may override them?</t>
  </si>
  <si>
    <t>ISS-07</t>
  </si>
  <si>
    <t>Retention and deletion periods</t>
  </si>
  <si>
    <t>Retention for non-bookkeeping personal data and deadlines for deletion are not stated.</t>
  </si>
  <si>
    <t>GDPR note: 'shorter retention period' (no value).</t>
  </si>
  <si>
    <t>Corporate customer: deletion at end of relationship (no deadline).</t>
  </si>
  <si>
    <t>01_Requirements/sources/01_note_gdpr-consultant_2026-08-20.txt
01_Requirements/sources/01_interview_corporate-customer_2026-08-19.txt</t>
  </si>
  <si>
    <t>01_note_gdpr-consultant_2026-08-20.txt [bullet 2]: "other personal data should have a shorter retention period."
01_interview_corporate-customer_2026-08-19.txt [Q4]: "delete our employees' names when we stop being a customer."</t>
  </si>
  <si>
    <t>NFR-07 and NFR-08 cannot be tested; affects US-31.</t>
  </si>
  <si>
    <t>What retention period applies to personal data not needed for bookkeeping, and within how many days must data be deleted after a request or end of relationship?</t>
  </si>
  <si>
    <t>ISS-08</t>
  </si>
  <si>
    <t>Approval threshold</t>
  </si>
  <si>
    <t>One customer wants approval above 15 000 NOK. It is unclear whether thresholds are per customer and configurable.</t>
  </si>
  <si>
    <t>Corporate customer: only the office manager approves orders above 15 000 NOK.</t>
  </si>
  <si>
    <t>Affects US-26.</t>
  </si>
  <si>
    <t>Should approval thresholds be configurable per company account, and is the amount incl. or excl. VAT?</t>
  </si>
  <si>
    <t>ISS-09</t>
  </si>
  <si>
    <t>Vipps integration</t>
  </si>
  <si>
    <t>Vipps payments depend on an agreement and API access that are not documented.</t>
  </si>
  <si>
    <t>Kick-off: must integrate with Vipps.</t>
  </si>
  <si>
    <t>00_minutes_kickoff-meeting_2026-08-12.txt [bullet 2]: "Must integrate with Fiken (accounting) and Vipps (payments)."</t>
  </si>
  <si>
    <t>Affects US-21 and US-22.</t>
  </si>
  <si>
    <t>Does Ekte Mat have a Vipps merchant agreement that allows API integration, and who will request test access?</t>
  </si>
  <si>
    <t>ISS-10</t>
  </si>
  <si>
    <t>Performance target</t>
  </si>
  <si>
    <t>Speed is a stated need, but no target is given.</t>
  </si>
  <si>
    <t>Head chef: 'do not make it slow'.</t>
  </si>
  <si>
    <t>01_interview_head-chef_2026-08-15.txt [Q4]: "Please do not make it slow."</t>
  </si>
  <si>
    <t>NFR-01 cannot be tested.</t>
  </si>
  <si>
    <t>What is the maximum acceptable page load time, on which device and network?</t>
  </si>
  <si>
    <t>ISS-11</t>
  </si>
  <si>
    <t>Availability target</t>
  </si>
  <si>
    <t>'At any hour' has no numeric availability target.</t>
  </si>
  <si>
    <t>Owner: booking at any hour.</t>
  </si>
  <si>
    <t>01_interview_owner_2026-08-14.txt [Q2]: "at any hour."</t>
  </si>
  <si>
    <t>NFR-02 cannot be tested; affects hosting choice and cost.</t>
  </si>
  <si>
    <t>What monthly availability (%) is required for menus and booking, and are planned maintenance windows acceptable?</t>
  </si>
  <si>
    <t>ISS-12</t>
  </si>
  <si>
    <t>Phone ordering</t>
  </si>
  <si>
    <t>Phone orders are part of today's process and a customer asks if phone ordering continues.</t>
  </si>
  <si>
    <t>As-is process: phone calls noted on paper.</t>
  </si>
  <si>
    <t>Customer e-mail E024: asks to keep ordering by phone.</t>
  </si>
  <si>
    <t>02_Analysis_and_models/02_process_as-is-order-handling_2026-08-15.md
04_Data/04_dataset_customer-emails_2026-10-20.csv</t>
  </si>
  <si>
    <t>02_process_as-is-order-handling_2026-08-15.md [step 1]: "Customer sends an e-mail or calls (phone calls are noted on paper)."
04_dataset_customer-emails_2026-10-20.csv [E024]: "Kan jeg fortsatt bestille på telefon?" [translation: Can I still order by phone?]</t>
  </si>
  <si>
    <t>Affects US-09 and the scope of the coordinator's role.</t>
  </si>
  <si>
    <t>Will phone and e-mail orders still be accepted after go-live, with the coordinator entering them in the system?</t>
  </si>
  <si>
    <t>ISS-13</t>
  </si>
  <si>
    <t>Driver needs</t>
  </si>
  <si>
    <t>The driver is part of the process but was not interviewed.</t>
  </si>
  <si>
    <t>As-is process / IT landscape: driver uses printouts and own phone.</t>
  </si>
  <si>
    <t>02_process_as-is-order-handling_2026-08-15.md [step 10]: "Driver gets the address from the printout."
03_landscape_current-it_2026-10-20.txt [Driver]: "Driver: own phone, Google Maps"</t>
  </si>
  <si>
    <t>Delivery stories may be incomplete (US-14).</t>
  </si>
  <si>
    <t>Should the team interview the driver before Sprint 2, and does the driver need access to the system?</t>
  </si>
  <si>
    <t>ISS-14</t>
  </si>
  <si>
    <t>Kitchen PIN vs health data</t>
  </si>
  <si>
    <t>A PIN login is requested for the kitchen tablet, which will display allergy data that may be health data.</t>
  </si>
  <si>
    <t>Head chef: PIN is fine.</t>
  </si>
  <si>
    <t>GDPR note: allergy data about named persons can be health data.</t>
  </si>
  <si>
    <t>01_Requirements/sources/01_interview_head-chef_2026-08-15.txt
01_Requirements/sources/01_note_gdpr-consultant_2026-08-20.txt</t>
  </si>
  <si>
    <t>01_interview_head-chef_2026-08-15.txt [Q1]: "a PIN is fine."
01_note_gdpr-consultant_2026-08-20.txt [bullet 1]: "Allergy and dietary information about named persons can be health data"</t>
  </si>
  <si>
    <t>Affects US-17 and NFR-05. Not a conflict if allergy data is stored per guest group.</t>
  </si>
  <si>
    <t>Is a shared or personal PIN acceptable for the kitchen tablet, given that it shows allergy information per guest group?</t>
  </si>
  <si>
    <t>ISS-15</t>
  </si>
  <si>
    <t>Recipe quantities</t>
  </si>
  <si>
    <t>A prep list in kilos requires ingredient quantities per portion, which are not in the evidence.</t>
  </si>
  <si>
    <t>Head chef: prep list in kilos.</t>
  </si>
  <si>
    <t>01_interview_head-chef_2026-08-15.txt [Q2]: "total kilos of each ingredient for the next three days."</t>
  </si>
  <si>
    <t>US-20 cannot be implemented without recipe data.</t>
  </si>
  <si>
    <t>Who will provide ingredient quantities per portion for each dish, and in what format?</t>
  </si>
  <si>
    <t>ISS-16</t>
  </si>
  <si>
    <t>Data-subject request handling</t>
  </si>
  <si>
    <t>Deadline and identity checks for access and deletion requests are not documented. A deletion request (E010) is already pending.</t>
  </si>
  <si>
    <t>GDPR note: customers must be able to request access and deletion.</t>
  </si>
  <si>
    <t>01_Requirements/sources/01_note_gdpr-consultant_2026-08-20.txt
04_Data/04_dataset_customer-emails_2026-10-20.csv</t>
  </si>
  <si>
    <t>01_note_gdpr-consultant_2026-08-20.txt [bullet 3]: "Customers must be able to request access and deletion."
04_dataset_customer-emails_2026-10-20.csv [E010]: "Please delete all personal data you have about me and confirm by e-mail."</t>
  </si>
  <si>
    <t>Affects US-30 and US-31.</t>
  </si>
  <si>
    <t>Who handles access and deletion requests, how is identity verified, and what response deadline applies? Has request E010 been handled?</t>
  </si>
  <si>
    <t>ISS-17</t>
  </si>
  <si>
    <t>Pricing rules</t>
  </si>
  <si>
    <t>Customers ask about volume discounts and a children's menu; no pricing rules are documented.</t>
  </si>
  <si>
    <t>Customer e-mail E020: discount above 150 guests.</t>
  </si>
  <si>
    <t>Customer e-mail E027: children's menu.</t>
  </si>
  <si>
    <t>04_dataset_customer-emails_2026-10-20.csv [E020]: "Do you have a discount above 150 guests?"
04_dataset_customer-emails_2026-10-20.csv [E027]: "Do you have a children's menu?"</t>
  </si>
  <si>
    <t>Affects price display (US-01) and quotes.</t>
  </si>
  <si>
    <t>Are there volume discounts or special menus (e.g. children) that the system must calculate or display?</t>
  </si>
  <si>
    <t>ISS-18</t>
  </si>
  <si>
    <t>Accessibility</t>
  </si>
  <si>
    <t>No accessibility requirement or standard is documented. An elderly customer prefers phone ordering.</t>
  </si>
  <si>
    <t>Customer e-mail E024.</t>
  </si>
  <si>
    <t>04_dataset_customer-emails_2026-10-20.csv [E024]: "Jeg er 82 år og bruker ikke internett så mye." [translation: I am 82 and do not use the internet much.]</t>
  </si>
  <si>
    <t>No accessibility NFR could be written.</t>
  </si>
  <si>
    <t>Must the customer-facing website meet a specific accessibility standard (e.g. WCAG level)?</t>
  </si>
  <si>
    <t>ISS-19</t>
  </si>
  <si>
    <t>Language scope</t>
  </si>
  <si>
    <t>Norwegian and English UI is required, but the scope is not defined.</t>
  </si>
  <si>
    <t>IT landscape: Norwegian and English UI.</t>
  </si>
  <si>
    <t>03_Architecture/03_landscape_current-it_2026-10-20.txt</t>
  </si>
  <si>
    <t>03_landscape_current-it_2026-10-20.txt [Constraints]: "Norwegian and English UI."</t>
  </si>
  <si>
    <t>Affects NFR-10 and effort.</t>
  </si>
  <si>
    <t>Must kitchen and admin screens also be available in both languages, or only customer-facing pages and menus?</t>
  </si>
  <si>
    <t>ISS-20</t>
  </si>
  <si>
    <t>Go-live meaning</t>
  </si>
  <si>
    <t>Sources describe 2027-03-01 as a 'soft launch target' and as a 'hard' go-live. Whether a soft launch allows a reduced scope is unclear.</t>
  </si>
  <si>
    <t>Kick-off minutes: soft launch target.</t>
  </si>
  <si>
    <t>Budget note: go-live hard.</t>
  </si>
  <si>
    <t>00_Project_management/00_minutes_kickoff-meeting_2026-08-12.txt
00_Project_management/00_plan_budget-and-constraints_2026-10-20.txt</t>
  </si>
  <si>
    <t>00_minutes_kickoff-meeting_2026-08-12.txt [bullet 4]: "Soft launch target: 1 March 2027."
00_plan_budget-and-constraints_2026-10-20.txt [Go-live]: "Go-live: 1 March 2027 (hard)"</t>
  </si>
  <si>
    <t>Determines which stories are Must.</t>
  </si>
  <si>
    <t>Is 2027-03-01 a hard date for the full Must scope, or a soft launch with a limited customer group?</t>
  </si>
  <si>
    <t>ISS-21</t>
  </si>
  <si>
    <t>Existing tools</t>
  </si>
  <si>
    <t>It is unclear whether the new system replaces the Wix website and the Google Calendar capacity check, or integrates with them.</t>
  </si>
  <si>
    <t>IT landscape: Wix website, Google Workspace.</t>
  </si>
  <si>
    <t>03_Architecture/03_landscape_current-it_2026-10-20.txt
00_Project_management/00_minutes_kickoff-meeting_2026-08-12.txt</t>
  </si>
  <si>
    <t>03_landscape_current-it_2026-10-20.txt [Website]: "Website: Wix, 6 pages, contact form -&gt; sends e-mail to post@ektemat.example"
00_minutes_kickoff-meeting_2026-08-12.txt [bullet 2]: "Google Workspace used for e-mail/calendar"</t>
  </si>
  <si>
    <t>Affects architecture and US-02, US-10.</t>
  </si>
  <si>
    <t>Will the new system replace the Wix website and the Google Calendar capacity check, or must it integrate with them?</t>
  </si>
  <si>
    <t>ISS-22</t>
  </si>
  <si>
    <t>Scope vs budget</t>
  </si>
  <si>
    <t>The Must scope (11 stories) has not been estimated against the 450 000 NOK budget and the go-live date.</t>
  </si>
  <si>
    <t>Budget note.</t>
  </si>
  <si>
    <t>00_plan_budget-and-constraints_2026-10-20.txt [Budget]: "Budget first version: 450 000 NOK incl. 12 months hosting"</t>
  </si>
  <si>
    <t>Risk that the Must scope does not fit.</t>
  </si>
  <si>
    <t>After estimation, which Must stories may be moved to Should if the scope exceeds budget or time?</t>
  </si>
  <si>
    <t>ISS-23</t>
  </si>
  <si>
    <t>Small epic</t>
  </si>
  <si>
    <t>EP-06 (Privacy and data-subject rights) has only 2 stories, below the 3-story guideline. No stories were invented to fill it.</t>
  </si>
  <si>
    <t>Backlog rule: 3-8 stories per epic.</t>
  </si>
  <si>
    <t>Backlog structure only.</t>
  </si>
  <si>
    <t>Keep EP-06 as a small compliance epic, or merge its stories into another epic?</t>
  </si>
  <si>
    <t>ISS-24</t>
  </si>
  <si>
    <t>GDPR advice verification</t>
  </si>
  <si>
    <t>GDPR obligations come from a phone note, not a written legal assessment.</t>
  </si>
  <si>
    <t>GDPR note header: phone call.</t>
  </si>
  <si>
    <t>01_note_gdpr-consultant_2026-08-20.txt [header]: "Note from data-protection consultant (phone call, 20 Aug 2026)"</t>
  </si>
  <si>
    <t>Risk of building on unverified legal assumptions (NFR-04 to NFR-09).</t>
  </si>
  <si>
    <t>Can the consultant confirm the advice in writing, including the 5-year bookkeeping retention?</t>
  </si>
  <si>
    <t>AUDIT TRAIL (separate from the issue table above)</t>
  </si>
  <si>
    <t>Inspected 2026-10-22. Story counts are live formulas over the 'User stories' Source File(s) column.</t>
  </si>
  <si>
    <t>#</t>
  </si>
  <si>
    <t>File</t>
  </si>
  <si>
    <t>Relative Path (from EkteMat_repo)</t>
  </si>
  <si>
    <t>File Type</t>
  </si>
  <si>
    <t>Read Successfully</t>
  </si>
  <si>
    <t>Contributed Stories</t>
  </si>
  <si>
    <t>Distinct Stories Supported</t>
  </si>
  <si>
    <t>Other Contribution</t>
  </si>
  <si>
    <t>Notes / Exclusion Reason</t>
  </si>
  <si>
    <t>01_interview_owner_2026-08-14.txt</t>
  </si>
  <si>
    <t>txt</t>
  </si>
  <si>
    <t>Yes</t>
  </si>
  <si>
    <t>Stakeholders, NFR-02, issues</t>
  </si>
  <si>
    <t>01_interview_event-coordinator_2026-08-15.txt</t>
  </si>
  <si>
    <t>Stakeholders, issues</t>
  </si>
  <si>
    <t>01_interview_head-chef_2026-08-15.txt</t>
  </si>
  <si>
    <t>NFR-01, 03, 12, 13; issues</t>
  </si>
  <si>
    <t>01_interview_corporate-customer_2026-08-19.txt</t>
  </si>
  <si>
    <t>NFR-04, 08; issues</t>
  </si>
  <si>
    <t>01_note_gdpr-consultant_2026-08-20.txt</t>
  </si>
  <si>
    <t>NFR-05 to 09; issues</t>
  </si>
  <si>
    <t>Advice from a phone note; not legally verified.</t>
  </si>
  <si>
    <t>01_vision_draft-v0.3_2026-10-20.docx</t>
  </si>
  <si>
    <t>01_Requirements/sources/01_vision_draft-v0.3_2026-10-20.docx</t>
  </si>
  <si>
    <t>docx</t>
  </si>
  <si>
    <t>Issues</t>
  </si>
  <si>
    <t>Text read from paragraphs; no tables or images found.</t>
  </si>
  <si>
    <t>00_minutes_kickoff-meeting_2026-08-12.txt</t>
  </si>
  <si>
    <t>Expected input; located in 00_Project_management, not in sources/.</t>
  </si>
  <si>
    <t>00_plan_budget-and-constraints_2026-10-20.txt</t>
  </si>
  <si>
    <t>NFR-11, issues</t>
  </si>
  <si>
    <t>Expected input; located in 00_Project_management. No functional stories: content is constraints only.</t>
  </si>
  <si>
    <t>02_process_as-is-order-handling_2026-08-15.md</t>
  </si>
  <si>
    <t>02_Analysis_and_models/02_process_as-is-order-handling_2026-08-15.md</t>
  </si>
  <si>
    <t>md</t>
  </si>
  <si>
    <t>Expected input; located in 02_Analysis_and_models.</t>
  </si>
  <si>
    <t>03_landscape_current-it_2026-10-20.txt</t>
  </si>
  <si>
    <t>NFR-04, 10-13; issues</t>
  </si>
  <si>
    <t>Expected input; located in 03_Architecture.</t>
  </si>
  <si>
    <t>04_dataset_customer-emails_2026-10-20.csv</t>
  </si>
  <si>
    <t>csv</t>
  </si>
  <si>
    <t>Stakeholders, NFR-10, issues</t>
  </si>
  <si>
    <t>Expected input; located in 04_Data. 30 records; columns email_id, received, from_name, from_address, subject, body, language. Cited by email_id; names and addresses not reproduced. Records used: see note below.</t>
  </si>
  <si>
    <t>04_reference_lunch-menu-autumn_2026-10-20.txt</t>
  </si>
  <si>
    <t>04_Data/04_reference_lunch-menu-autumn_2026-10-20.txt</t>
  </si>
  <si>
    <t>Reference material (allergen list). Not in the expected-input list; included because it supports US-06.</t>
  </si>
  <si>
    <t>04_dataset_orders-2024-2025_2026-09-27.xlsx</t>
  </si>
  <si>
    <t>04_Data/04_dataset_orders-2024-2025_2026-09-27.xlsx</t>
  </si>
  <si>
    <t>xlsx</t>
  </si>
  <si>
    <t>Partially (headers only)</t>
  </si>
  <si>
    <t>Historical order data; not a requirements source in the brief. Not analysed for stories.</t>
  </si>
  <si>
    <t>02_benchmark_competitor-links_2026-10-20.txt</t>
  </si>
  <si>
    <t>02_Analysis_and_models/02_benchmark_competitor-links_2026-10-20.txt</t>
  </si>
  <si>
    <t>Excluded: competitor links for benchmarking only; external sites not opened (no research authorised).</t>
  </si>
  <si>
    <t>00_todo_sprint0-setup_2026-10-20.txt</t>
  </si>
  <si>
    <t>00_Project_management/00_todo_sprint0-setup_2026-10-20.txt</t>
  </si>
  <si>
    <t>Excluded: team to-do, no requirements content.</t>
  </si>
  <si>
    <t>99_note_logo-ideas_2026-10-20.txt</t>
  </si>
  <si>
    <t>99_Not_relevant/99_note_logo-ideas_2026-10-20.txt</t>
  </si>
  <si>
    <t>Excluded: marked not relevant to system development.</t>
  </si>
  <si>
    <t>README.md</t>
  </si>
  <si>
    <t>Excluded: repository index written by the team.</t>
  </si>
  <si>
    <t>Total unique user stories</t>
  </si>
  <si>
    <t>Sum of per-file story counts</t>
  </si>
  <si>
    <t>Note</t>
  </si>
  <si>
    <t>The sum exceeds the unique total because one story can be supported by several files. CSV records supporting stories: E001, E002, E003, E004, E005, E006, E007, E008, E009, E010, E011, E012, E013, E014, E015, E016, E017, E018, E019, E021, E022, E023, E024, E028, E029. Records used only for stakeholders/NFRs/issues: E020, E025, E027, E030. Records with no requirement content (not used): E026. No story is classified Won't: no source explicitly excludes or defers a need. Originals in EkteMat_project_inbox were not re-read; the repo copies are SHA-256-identical (verified 2026-10-22). The inbox file 'Kopi av interview Sunniva (2).txt' is an exact duplicate of the event-coordinator interview and was not counted.</t>
  </si>
  <si>
    <t>AC1: Given a published menu, when a visitor opens the menu page, then each dish is shown with its price in NOK.
AC2: Given it is outside office hours, 8.00 to 17.00, when a visitor opens the website, then menus and prices are available without contacting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</si>
</sst>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takeholders" displayName="Stakeholders" ref="A1:I15" totalsRowShown="0">
  <autoFilter ref="A1:I15" xr:uid="{00000000-0009-0000-0100-000004000000}"/>
  <tableColumns count="9">
    <tableColumn id="1" xr3:uid="{00000000-0010-0000-0000-000001000000}" name="Stakeholder ID"/>
    <tableColumn id="2" xr3:uid="{00000000-0010-0000-0000-000002000000}" name="Name/Group"/>
    <tableColumn id="3" xr3:uid="{00000000-0010-0000-0000-000003000000}" name="Role"/>
    <tableColumn id="4" xr3:uid="{00000000-0010-0000-0000-000004000000}" name="Interest"/>
    <tableColumn id="5" xr3:uid="{00000000-0010-0000-0000-000005000000}" name="Influence"/>
    <tableColumn id="6" xr3:uid="{00000000-0010-0000-0000-000006000000}" name="Key Concerns"/>
    <tableColumn id="7" xr3:uid="{00000000-0010-0000-0000-000007000000}" name="Source File(s)"/>
    <tableColumn id="8" xr3:uid="{00000000-0010-0000-0000-000008000000}" name="Supporting Quote/Evidence"/>
    <tableColumn id="9" xr3:uid="{00000000-0010-0000-0000-000009000000}" name="Evidence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UserStories" displayName="UserStories" ref="A1:K32" totalsRowShown="0">
  <autoFilter ref="A1:K32" xr:uid="{00000000-0009-0000-0100-000005000000}"/>
  <tableColumns count="11">
    <tableColumn id="1" xr3:uid="{00000000-0010-0000-0100-000001000000}" name="Story ID"/>
    <tableColumn id="2" xr3:uid="{00000000-0010-0000-0100-000002000000}" name="Epic ID"/>
    <tableColumn id="3" xr3:uid="{00000000-0010-0000-0100-000003000000}" name="Epic Name"/>
    <tableColumn id="4" xr3:uid="{00000000-0010-0000-0100-000004000000}" name="User Story"/>
    <tableColumn id="5" xr3:uid="{00000000-0010-0000-0100-000005000000}" name="Acceptance Criteria (2–3)"/>
    <tableColumn id="6" xr3:uid="{00000000-0010-0000-0100-000006000000}" name="MoSCoW Priority"/>
    <tableColumn id="7" xr3:uid="{00000000-0010-0000-0100-000007000000}" name="One-line Priority Rationale"/>
    <tableColumn id="8" xr3:uid="{00000000-0010-0000-0100-000008000000}" name="Source File(s)"/>
    <tableColumn id="9" xr3:uid="{00000000-0010-0000-0100-000009000000}" name="Supporting Quote"/>
    <tableColumn id="10" xr3:uid="{00000000-0010-0000-0100-00000A000000}" name="Evidence Status"/>
    <tableColumn id="11" xr3:uid="{00000000-0010-0000-0100-00000B000000}" name="Assumptions/Dependenci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FRs" displayName="NFRs" ref="A1:K14" totalsRowShown="0">
  <autoFilter ref="A1:K14" xr:uid="{00000000-0009-0000-0100-000003000000}"/>
  <tableColumns count="11">
    <tableColumn id="1" xr3:uid="{00000000-0010-0000-0200-000001000000}" name="Requirement ID"/>
    <tableColumn id="2" xr3:uid="{00000000-0010-0000-0200-000002000000}" name="Quality Characteristic"/>
    <tableColumn id="3" xr3:uid="{00000000-0010-0000-0200-000003000000}" name="Requirement Statement"/>
    <tableColumn id="4" xr3:uid="{00000000-0010-0000-0200-000004000000}" name="Metric"/>
    <tableColumn id="5" xr3:uid="{00000000-0010-0000-0200-000005000000}" name="Target Value"/>
    <tableColumn id="6" xr3:uid="{00000000-0010-0000-0200-000006000000}" name="Unit"/>
    <tableColumn id="7" xr3:uid="{00000000-0010-0000-0200-000007000000}" name="Measurement Conditions/Verification Method"/>
    <tableColumn id="8" xr3:uid="{00000000-0010-0000-0200-000008000000}" name="Source File(s)"/>
    <tableColumn id="9" xr3:uid="{00000000-0010-0000-0200-000009000000}" name="Supporting Quote"/>
    <tableColumn id="10" xr3:uid="{00000000-0010-0000-0200-00000A000000}" name="Evidence Status"/>
    <tableColumn id="11" xr3:uid="{00000000-0010-0000-0200-00000B000000}" name="Assumptions/Unresolved Detail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uditTrail" displayName="AuditTrail" ref="A30:I47" totalsRowShown="0">
  <autoFilter ref="A30:I47" xr:uid="{00000000-0009-0000-0100-000001000000}"/>
  <tableColumns count="9">
    <tableColumn id="1" xr3:uid="{00000000-0010-0000-0300-000001000000}" name="#"/>
    <tableColumn id="2" xr3:uid="{00000000-0010-0000-0300-000002000000}" name="File"/>
    <tableColumn id="3" xr3:uid="{00000000-0010-0000-0300-000003000000}" name="Relative Path (from EkteMat_repo)"/>
    <tableColumn id="4" xr3:uid="{00000000-0010-0000-0300-000004000000}" name="File Type"/>
    <tableColumn id="5" xr3:uid="{00000000-0010-0000-0300-000005000000}" name="Read Successfully"/>
    <tableColumn id="6" xr3:uid="{00000000-0010-0000-0300-000006000000}" name="Contributed Stories"/>
    <tableColumn id="7" xr3:uid="{00000000-0010-0000-0300-000007000000}" name="Distinct Stories Supported"/>
    <tableColumn id="8" xr3:uid="{00000000-0010-0000-0300-000008000000}" name="Other Contribution"/>
    <tableColumn id="9" xr3:uid="{00000000-0010-0000-0300-000009000000}" name="Notes / Exclusion Reas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Issues" displayName="Issues" ref="A1:L25" totalsRowShown="0">
  <autoFilter ref="A1:L25" xr:uid="{00000000-0009-0000-0100-000002000000}"/>
  <tableColumns count="12">
    <tableColumn id="1" xr3:uid="{00000000-0010-0000-0400-000001000000}" name="Issue ID"/>
    <tableColumn id="2" xr3:uid="{00000000-0010-0000-0400-000002000000}" name="Issue Type"/>
    <tableColumn id="3" xr3:uid="{00000000-0010-0000-0400-000003000000}" name="Topic"/>
    <tableColumn id="4" xr3:uid="{00000000-0010-0000-0400-000004000000}" name="Description"/>
    <tableColumn id="5" xr3:uid="{00000000-0010-0000-0400-000005000000}" name="Stakeholder/Source A and Position"/>
    <tableColumn id="6" xr3:uid="{00000000-0010-0000-0400-000006000000}" name="Stakeholder/Source B and Position"/>
    <tableColumn id="7" xr3:uid="{00000000-0010-0000-0400-000007000000}" name="Source File(s)"/>
    <tableColumn id="8" xr3:uid="{00000000-0010-0000-0400-000008000000}" name="Supporting Quote/Evidence"/>
    <tableColumn id="9" xr3:uid="{00000000-0010-0000-0400-000009000000}" name="Potential Impact"/>
    <tableColumn id="10" xr3:uid="{00000000-0010-0000-0400-00000A000000}" name="Specific Product-Owner Question"/>
    <tableColumn id="11" xr3:uid="{00000000-0010-0000-0400-00000B000000}" name="Decision Owner (if evidenced)"/>
    <tableColumn id="12" xr3:uid="{00000000-0010-0000-0400-00000C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38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defaultColWidth="8.6796875" defaultRowHeight="14.75" x14ac:dyDescent="0.75"/>
  <cols>
    <col min="1" max="1" width="18.6796875" customWidth="1"/>
    <col min="2" max="2" width="24" customWidth="1"/>
    <col min="3" max="3" width="28" customWidth="1"/>
    <col min="4" max="4" width="40" customWidth="1"/>
    <col min="5" max="5" width="18.953125" customWidth="1"/>
    <col min="6" max="7" width="40" customWidth="1"/>
    <col min="8" max="8" width="60" customWidth="1"/>
    <col min="9" max="9" width="23.58984375" customWidth="1"/>
  </cols>
  <sheetData>
    <row r="1" spans="1:9" ht="26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8" x14ac:dyDescent="0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78" x14ac:dyDescent="0.7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78" x14ac:dyDescent="0.75">
      <c r="A4" s="3" t="s">
        <v>27</v>
      </c>
      <c r="B4" s="3" t="s">
        <v>28</v>
      </c>
      <c r="C4" s="3" t="s">
        <v>29</v>
      </c>
      <c r="D4" s="3" t="s">
        <v>30</v>
      </c>
      <c r="E4" s="3" t="s">
        <v>22</v>
      </c>
      <c r="F4" s="3" t="s">
        <v>31</v>
      </c>
      <c r="G4" s="3" t="s">
        <v>32</v>
      </c>
      <c r="H4" s="3" t="s">
        <v>33</v>
      </c>
      <c r="I4" s="3" t="s">
        <v>26</v>
      </c>
    </row>
    <row r="5" spans="1:9" ht="78" x14ac:dyDescent="0.75">
      <c r="A5" s="3" t="s">
        <v>34</v>
      </c>
      <c r="B5" s="3" t="s">
        <v>35</v>
      </c>
      <c r="C5" s="3" t="s">
        <v>36</v>
      </c>
      <c r="D5" s="3" t="s">
        <v>37</v>
      </c>
      <c r="E5" s="3" t="s">
        <v>22</v>
      </c>
      <c r="F5" s="3" t="s">
        <v>38</v>
      </c>
      <c r="G5" s="3" t="s">
        <v>39</v>
      </c>
      <c r="H5" s="3" t="s">
        <v>40</v>
      </c>
      <c r="I5" s="3" t="s">
        <v>26</v>
      </c>
    </row>
    <row r="6" spans="1:9" ht="39" x14ac:dyDescent="0.75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26</v>
      </c>
    </row>
    <row r="7" spans="1:9" ht="39" x14ac:dyDescent="0.75">
      <c r="A7" s="3" t="s">
        <v>49</v>
      </c>
      <c r="B7" s="3" t="s">
        <v>50</v>
      </c>
      <c r="C7" s="3" t="s">
        <v>51</v>
      </c>
      <c r="D7" s="3" t="s">
        <v>52</v>
      </c>
      <c r="E7" s="3" t="s">
        <v>45</v>
      </c>
      <c r="F7" s="3" t="s">
        <v>53</v>
      </c>
      <c r="G7" s="3" t="s">
        <v>47</v>
      </c>
      <c r="H7" s="3" t="s">
        <v>54</v>
      </c>
      <c r="I7" s="3" t="s">
        <v>26</v>
      </c>
    </row>
    <row r="8" spans="1:9" ht="104" x14ac:dyDescent="0.75">
      <c r="A8" s="3" t="s">
        <v>55</v>
      </c>
      <c r="B8" s="3" t="s">
        <v>56</v>
      </c>
      <c r="C8" s="3" t="s">
        <v>57</v>
      </c>
      <c r="D8" s="3" t="s">
        <v>58</v>
      </c>
      <c r="E8" s="3" t="s">
        <v>22</v>
      </c>
      <c r="F8" s="3" t="s">
        <v>59</v>
      </c>
      <c r="G8" s="3" t="s">
        <v>60</v>
      </c>
      <c r="H8" s="3" t="s">
        <v>61</v>
      </c>
      <c r="I8" s="3" t="s">
        <v>26</v>
      </c>
    </row>
    <row r="9" spans="1:9" ht="91" x14ac:dyDescent="0.75">
      <c r="A9" s="3" t="s">
        <v>62</v>
      </c>
      <c r="B9" s="3" t="s">
        <v>63</v>
      </c>
      <c r="C9" s="3" t="s">
        <v>64</v>
      </c>
      <c r="D9" s="3" t="s">
        <v>65</v>
      </c>
      <c r="E9" s="3" t="s">
        <v>45</v>
      </c>
      <c r="F9" s="3" t="s">
        <v>66</v>
      </c>
      <c r="G9" s="3" t="s">
        <v>60</v>
      </c>
      <c r="H9" s="3" t="s">
        <v>67</v>
      </c>
      <c r="I9" s="3" t="s">
        <v>26</v>
      </c>
    </row>
    <row r="10" spans="1:9" ht="78" x14ac:dyDescent="0.75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45</v>
      </c>
      <c r="F10" s="3" t="s">
        <v>72</v>
      </c>
      <c r="G10" s="3" t="s">
        <v>73</v>
      </c>
      <c r="H10" s="3" t="s">
        <v>74</v>
      </c>
      <c r="I10" s="3" t="s">
        <v>26</v>
      </c>
    </row>
    <row r="11" spans="1:9" ht="26" x14ac:dyDescent="0.75">
      <c r="A11" s="3" t="s">
        <v>75</v>
      </c>
      <c r="B11" s="3" t="s">
        <v>76</v>
      </c>
      <c r="C11" s="3" t="s">
        <v>77</v>
      </c>
      <c r="D11" s="3" t="s">
        <v>78</v>
      </c>
      <c r="E11" s="3" t="s">
        <v>45</v>
      </c>
      <c r="F11" s="3" t="s">
        <v>79</v>
      </c>
      <c r="G11" s="3" t="s">
        <v>80</v>
      </c>
      <c r="H11" s="3" t="s">
        <v>81</v>
      </c>
      <c r="I11" s="3" t="s">
        <v>26</v>
      </c>
    </row>
    <row r="12" spans="1:9" ht="65" x14ac:dyDescent="0.75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45</v>
      </c>
      <c r="F12" s="3" t="s">
        <v>86</v>
      </c>
      <c r="G12" s="3" t="s">
        <v>87</v>
      </c>
      <c r="H12" s="3" t="s">
        <v>88</v>
      </c>
      <c r="I12" s="3" t="s">
        <v>26</v>
      </c>
    </row>
    <row r="13" spans="1:9" ht="39" x14ac:dyDescent="0.75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22</v>
      </c>
      <c r="F13" s="3" t="s">
        <v>93</v>
      </c>
      <c r="G13" s="3" t="s">
        <v>94</v>
      </c>
      <c r="H13" s="3" t="s">
        <v>95</v>
      </c>
      <c r="I13" s="3" t="s">
        <v>26</v>
      </c>
    </row>
    <row r="14" spans="1:9" ht="39" x14ac:dyDescent="0.75">
      <c r="A14" s="3" t="s">
        <v>96</v>
      </c>
      <c r="B14" s="3" t="s">
        <v>97</v>
      </c>
      <c r="C14" s="3" t="s">
        <v>98</v>
      </c>
      <c r="D14" s="3" t="s">
        <v>99</v>
      </c>
      <c r="E14" s="3" t="s">
        <v>22</v>
      </c>
      <c r="F14" s="3" t="s">
        <v>100</v>
      </c>
      <c r="G14" s="3" t="s">
        <v>101</v>
      </c>
      <c r="H14" s="3" t="s">
        <v>102</v>
      </c>
      <c r="I14" s="3" t="s">
        <v>26</v>
      </c>
    </row>
    <row r="15" spans="1:9" ht="104" x14ac:dyDescent="0.75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45</v>
      </c>
      <c r="F15" s="3" t="s">
        <v>107</v>
      </c>
      <c r="G15" s="3" t="s">
        <v>108</v>
      </c>
      <c r="H15" s="3" t="s">
        <v>109</v>
      </c>
      <c r="I15" s="3" t="s">
        <v>26</v>
      </c>
    </row>
  </sheetData>
  <dataValidations count="2">
    <dataValidation type="list" sqref="E2:E15" xr:uid="{00000000-0002-0000-0000-000000000000}">
      <formula1>"High,Medium,Low"</formula1>
      <formula2>0</formula2>
    </dataValidation>
    <dataValidation type="list" sqref="I2:I15" xr:uid="{00000000-0002-0000-0000-000001000000}">
      <formula1>"DIRECT,INFERRED,ASSUMPTION,UNRESOLVED"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8.6796875" defaultRowHeight="14.75" x14ac:dyDescent="0.75"/>
  <cols>
    <col min="1" max="1" width="9" customWidth="1"/>
    <col min="2" max="2" width="8" customWidth="1"/>
    <col min="3" max="3" width="22" customWidth="1"/>
    <col min="4" max="4" width="45" customWidth="1"/>
    <col min="5" max="5" width="60" customWidth="1"/>
    <col min="6" max="6" width="10" customWidth="1"/>
    <col min="7" max="7" width="38" customWidth="1"/>
    <col min="8" max="8" width="40" customWidth="1"/>
    <col min="9" max="9" width="60" customWidth="1"/>
    <col min="10" max="10" width="13" customWidth="1"/>
    <col min="11" max="11" width="45" customWidth="1"/>
  </cols>
  <sheetData>
    <row r="1" spans="1:11" ht="26" x14ac:dyDescent="0.7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6</v>
      </c>
      <c r="I1" s="2" t="s">
        <v>117</v>
      </c>
      <c r="J1" s="2" t="s">
        <v>8</v>
      </c>
      <c r="K1" s="2" t="s">
        <v>118</v>
      </c>
    </row>
    <row r="2" spans="1:11" ht="117" x14ac:dyDescent="0.75">
      <c r="A2" s="3" t="s">
        <v>119</v>
      </c>
      <c r="B2" s="3" t="s">
        <v>120</v>
      </c>
      <c r="C2" s="3" t="s">
        <v>121</v>
      </c>
      <c r="D2" s="3" t="s">
        <v>122</v>
      </c>
      <c r="E2" s="3" t="s">
        <v>729</v>
      </c>
      <c r="F2" s="3" t="s">
        <v>123</v>
      </c>
      <c r="G2" s="3" t="s">
        <v>124</v>
      </c>
      <c r="H2" s="3" t="s">
        <v>125</v>
      </c>
      <c r="I2" s="3" t="s">
        <v>126</v>
      </c>
      <c r="J2" s="3" t="s">
        <v>17</v>
      </c>
      <c r="K2" s="3" t="s">
        <v>127</v>
      </c>
    </row>
    <row r="3" spans="1:11" ht="130" x14ac:dyDescent="0.75">
      <c r="A3" s="3" t="s">
        <v>128</v>
      </c>
      <c r="B3" s="3" t="s">
        <v>120</v>
      </c>
      <c r="C3" s="3" t="s">
        <v>121</v>
      </c>
      <c r="D3" s="3" t="s">
        <v>129</v>
      </c>
      <c r="E3" s="3" t="s">
        <v>130</v>
      </c>
      <c r="F3" s="3" t="s">
        <v>123</v>
      </c>
      <c r="G3" s="3" t="s">
        <v>131</v>
      </c>
      <c r="H3" s="3" t="s">
        <v>132</v>
      </c>
      <c r="I3" s="3" t="s">
        <v>133</v>
      </c>
      <c r="J3" s="3" t="s">
        <v>17</v>
      </c>
      <c r="K3" s="3" t="s">
        <v>134</v>
      </c>
    </row>
    <row r="4" spans="1:11" ht="52" x14ac:dyDescent="0.75">
      <c r="A4" s="3" t="s">
        <v>135</v>
      </c>
      <c r="B4" s="3" t="s">
        <v>120</v>
      </c>
      <c r="C4" s="3" t="s">
        <v>121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  <c r="J4" s="3" t="s">
        <v>17</v>
      </c>
      <c r="K4" s="3" t="s">
        <v>142</v>
      </c>
    </row>
    <row r="5" spans="1:11" ht="65" x14ac:dyDescent="0.75">
      <c r="A5" s="3" t="s">
        <v>143</v>
      </c>
      <c r="B5" s="3" t="s">
        <v>120</v>
      </c>
      <c r="C5" s="3" t="s">
        <v>121</v>
      </c>
      <c r="D5" s="3" t="s">
        <v>144</v>
      </c>
      <c r="E5" s="3" t="s">
        <v>145</v>
      </c>
      <c r="F5" s="3" t="s">
        <v>138</v>
      </c>
      <c r="G5" s="3" t="s">
        <v>146</v>
      </c>
      <c r="H5" s="3" t="s">
        <v>147</v>
      </c>
      <c r="I5" s="3" t="s">
        <v>148</v>
      </c>
      <c r="J5" s="3" t="s">
        <v>17</v>
      </c>
      <c r="K5" s="3" t="s">
        <v>149</v>
      </c>
    </row>
    <row r="6" spans="1:11" ht="78" x14ac:dyDescent="0.75">
      <c r="A6" s="3" t="s">
        <v>150</v>
      </c>
      <c r="B6" s="3" t="s">
        <v>120</v>
      </c>
      <c r="C6" s="3" t="s">
        <v>121</v>
      </c>
      <c r="D6" s="3" t="s">
        <v>151</v>
      </c>
      <c r="E6" s="3" t="s">
        <v>152</v>
      </c>
      <c r="F6" s="3" t="s">
        <v>138</v>
      </c>
      <c r="G6" s="3" t="s">
        <v>153</v>
      </c>
      <c r="H6" s="3" t="s">
        <v>125</v>
      </c>
      <c r="I6" s="3" t="s">
        <v>154</v>
      </c>
      <c r="J6" s="3" t="s">
        <v>17</v>
      </c>
      <c r="K6" s="3" t="s">
        <v>155</v>
      </c>
    </row>
    <row r="7" spans="1:11" ht="78" x14ac:dyDescent="0.75">
      <c r="A7" s="3" t="s">
        <v>156</v>
      </c>
      <c r="B7" s="3" t="s">
        <v>120</v>
      </c>
      <c r="C7" s="3" t="s">
        <v>121</v>
      </c>
      <c r="D7" s="3" t="s">
        <v>157</v>
      </c>
      <c r="E7" s="3" t="s">
        <v>158</v>
      </c>
      <c r="F7" s="3" t="s">
        <v>138</v>
      </c>
      <c r="G7" s="3" t="s">
        <v>159</v>
      </c>
      <c r="H7" s="3" t="s">
        <v>160</v>
      </c>
      <c r="I7" s="3" t="s">
        <v>161</v>
      </c>
      <c r="J7" s="3" t="s">
        <v>17</v>
      </c>
      <c r="K7" s="3" t="s">
        <v>162</v>
      </c>
    </row>
    <row r="8" spans="1:11" ht="117" x14ac:dyDescent="0.75">
      <c r="A8" s="3" t="s">
        <v>163</v>
      </c>
      <c r="B8" s="3" t="s">
        <v>120</v>
      </c>
      <c r="C8" s="3" t="s">
        <v>121</v>
      </c>
      <c r="D8" s="3" t="s">
        <v>164</v>
      </c>
      <c r="E8" s="3" t="s">
        <v>165</v>
      </c>
      <c r="F8" s="3" t="s">
        <v>123</v>
      </c>
      <c r="G8" s="3" t="s">
        <v>166</v>
      </c>
      <c r="H8" s="3" t="s">
        <v>167</v>
      </c>
      <c r="I8" s="3" t="s">
        <v>168</v>
      </c>
      <c r="J8" s="3" t="s">
        <v>17</v>
      </c>
      <c r="K8" s="3" t="s">
        <v>169</v>
      </c>
    </row>
    <row r="9" spans="1:11" ht="65" x14ac:dyDescent="0.75">
      <c r="A9" s="3" t="s">
        <v>170</v>
      </c>
      <c r="B9" s="3" t="s">
        <v>120</v>
      </c>
      <c r="C9" s="3" t="s">
        <v>121</v>
      </c>
      <c r="D9" s="3" t="s">
        <v>171</v>
      </c>
      <c r="E9" s="3" t="s">
        <v>172</v>
      </c>
      <c r="F9" s="3" t="s">
        <v>173</v>
      </c>
      <c r="G9" s="3" t="s">
        <v>174</v>
      </c>
      <c r="H9" s="3" t="s">
        <v>140</v>
      </c>
      <c r="I9" s="3" t="s">
        <v>175</v>
      </c>
      <c r="J9" s="3" t="s">
        <v>17</v>
      </c>
      <c r="K9" s="3" t="s">
        <v>176</v>
      </c>
    </row>
    <row r="10" spans="1:11" ht="117" x14ac:dyDescent="0.75">
      <c r="A10" s="3" t="s">
        <v>177</v>
      </c>
      <c r="B10" s="3" t="s">
        <v>178</v>
      </c>
      <c r="C10" s="3" t="s">
        <v>179</v>
      </c>
      <c r="D10" s="3" t="s">
        <v>180</v>
      </c>
      <c r="E10" s="3" t="s">
        <v>181</v>
      </c>
      <c r="F10" s="3" t="s">
        <v>123</v>
      </c>
      <c r="G10" s="3" t="s">
        <v>182</v>
      </c>
      <c r="H10" s="3" t="s">
        <v>183</v>
      </c>
      <c r="I10" s="3" t="s">
        <v>184</v>
      </c>
      <c r="J10" s="3" t="s">
        <v>17</v>
      </c>
      <c r="K10" s="3" t="s">
        <v>185</v>
      </c>
    </row>
    <row r="11" spans="1:11" ht="78" x14ac:dyDescent="0.75">
      <c r="A11" s="3" t="s">
        <v>186</v>
      </c>
      <c r="B11" s="3" t="s">
        <v>178</v>
      </c>
      <c r="C11" s="3" t="s">
        <v>179</v>
      </c>
      <c r="D11" s="3" t="s">
        <v>187</v>
      </c>
      <c r="E11" s="3" t="s">
        <v>188</v>
      </c>
      <c r="F11" s="3" t="s">
        <v>138</v>
      </c>
      <c r="G11" s="3" t="s">
        <v>189</v>
      </c>
      <c r="H11" s="3" t="s">
        <v>190</v>
      </c>
      <c r="I11" s="3" t="s">
        <v>191</v>
      </c>
      <c r="J11" s="3" t="s">
        <v>17</v>
      </c>
      <c r="K11" s="3" t="s">
        <v>192</v>
      </c>
    </row>
    <row r="12" spans="1:11" ht="117" x14ac:dyDescent="0.75">
      <c r="A12" s="3" t="s">
        <v>193</v>
      </c>
      <c r="B12" s="3" t="s">
        <v>178</v>
      </c>
      <c r="C12" s="3" t="s">
        <v>179</v>
      </c>
      <c r="D12" s="3" t="s">
        <v>194</v>
      </c>
      <c r="E12" s="3" t="s">
        <v>195</v>
      </c>
      <c r="F12" s="3" t="s">
        <v>138</v>
      </c>
      <c r="G12" s="3" t="s">
        <v>196</v>
      </c>
      <c r="H12" s="3" t="s">
        <v>197</v>
      </c>
      <c r="I12" s="3" t="s">
        <v>198</v>
      </c>
      <c r="J12" s="3" t="s">
        <v>17</v>
      </c>
      <c r="K12" s="3" t="s">
        <v>199</v>
      </c>
    </row>
    <row r="13" spans="1:11" ht="78" x14ac:dyDescent="0.75">
      <c r="A13" s="3" t="s">
        <v>200</v>
      </c>
      <c r="B13" s="3" t="s">
        <v>178</v>
      </c>
      <c r="C13" s="3" t="s">
        <v>179</v>
      </c>
      <c r="D13" s="3" t="s">
        <v>201</v>
      </c>
      <c r="E13" s="3" t="s">
        <v>202</v>
      </c>
      <c r="F13" s="3" t="s">
        <v>138</v>
      </c>
      <c r="G13" s="3" t="s">
        <v>203</v>
      </c>
      <c r="H13" s="3" t="s">
        <v>190</v>
      </c>
      <c r="I13" s="3" t="s">
        <v>204</v>
      </c>
      <c r="J13" s="3" t="s">
        <v>17</v>
      </c>
      <c r="K13" s="3" t="s">
        <v>205</v>
      </c>
    </row>
    <row r="14" spans="1:11" ht="65" x14ac:dyDescent="0.75">
      <c r="A14" s="3" t="s">
        <v>206</v>
      </c>
      <c r="B14" s="3" t="s">
        <v>178</v>
      </c>
      <c r="C14" s="3" t="s">
        <v>179</v>
      </c>
      <c r="D14" s="3" t="s">
        <v>207</v>
      </c>
      <c r="E14" s="3" t="s">
        <v>208</v>
      </c>
      <c r="F14" s="3" t="s">
        <v>173</v>
      </c>
      <c r="G14" s="3" t="s">
        <v>209</v>
      </c>
      <c r="H14" s="3" t="s">
        <v>140</v>
      </c>
      <c r="I14" s="3" t="s">
        <v>210</v>
      </c>
      <c r="J14" s="3" t="s">
        <v>211</v>
      </c>
      <c r="K14" s="3" t="s">
        <v>212</v>
      </c>
    </row>
    <row r="15" spans="1:11" ht="91" x14ac:dyDescent="0.75">
      <c r="A15" s="3" t="s">
        <v>213</v>
      </c>
      <c r="B15" s="3" t="s">
        <v>178</v>
      </c>
      <c r="C15" s="3" t="s">
        <v>179</v>
      </c>
      <c r="D15" s="3" t="s">
        <v>214</v>
      </c>
      <c r="E15" s="3" t="s">
        <v>215</v>
      </c>
      <c r="F15" s="3" t="s">
        <v>138</v>
      </c>
      <c r="G15" s="3" t="s">
        <v>216</v>
      </c>
      <c r="H15" s="3" t="s">
        <v>217</v>
      </c>
      <c r="I15" s="3" t="s">
        <v>218</v>
      </c>
      <c r="J15" s="3" t="s">
        <v>17</v>
      </c>
      <c r="K15" s="3" t="s">
        <v>219</v>
      </c>
    </row>
    <row r="16" spans="1:11" ht="104" x14ac:dyDescent="0.75">
      <c r="A16" s="3" t="s">
        <v>220</v>
      </c>
      <c r="B16" s="3" t="s">
        <v>221</v>
      </c>
      <c r="C16" s="3" t="s">
        <v>222</v>
      </c>
      <c r="D16" s="3" t="s">
        <v>223</v>
      </c>
      <c r="E16" s="3" t="s">
        <v>224</v>
      </c>
      <c r="F16" s="3" t="s">
        <v>123</v>
      </c>
      <c r="G16" s="3" t="s">
        <v>225</v>
      </c>
      <c r="H16" s="3" t="s">
        <v>226</v>
      </c>
      <c r="I16" s="3" t="s">
        <v>227</v>
      </c>
      <c r="J16" s="3" t="s">
        <v>17</v>
      </c>
      <c r="K16" s="3" t="s">
        <v>228</v>
      </c>
    </row>
    <row r="17" spans="1:11" ht="78" x14ac:dyDescent="0.75">
      <c r="A17" s="3" t="s">
        <v>229</v>
      </c>
      <c r="B17" s="3" t="s">
        <v>221</v>
      </c>
      <c r="C17" s="3" t="s">
        <v>222</v>
      </c>
      <c r="D17" s="3" t="s">
        <v>230</v>
      </c>
      <c r="E17" s="3" t="s">
        <v>231</v>
      </c>
      <c r="F17" s="3" t="s">
        <v>123</v>
      </c>
      <c r="G17" s="3" t="s">
        <v>232</v>
      </c>
      <c r="H17" s="3" t="s">
        <v>233</v>
      </c>
      <c r="I17" s="3" t="s">
        <v>234</v>
      </c>
      <c r="J17" s="3" t="s">
        <v>17</v>
      </c>
      <c r="K17" s="3" t="s">
        <v>235</v>
      </c>
    </row>
    <row r="18" spans="1:11" ht="52" x14ac:dyDescent="0.75">
      <c r="A18" s="3" t="s">
        <v>236</v>
      </c>
      <c r="B18" s="3" t="s">
        <v>221</v>
      </c>
      <c r="C18" s="3" t="s">
        <v>222</v>
      </c>
      <c r="D18" s="3" t="s">
        <v>237</v>
      </c>
      <c r="E18" s="3" t="s">
        <v>238</v>
      </c>
      <c r="F18" s="3" t="s">
        <v>138</v>
      </c>
      <c r="G18" s="3" t="s">
        <v>239</v>
      </c>
      <c r="H18" s="3" t="s">
        <v>32</v>
      </c>
      <c r="I18" s="3" t="s">
        <v>240</v>
      </c>
      <c r="J18" s="3" t="s">
        <v>17</v>
      </c>
      <c r="K18" s="3" t="s">
        <v>241</v>
      </c>
    </row>
    <row r="19" spans="1:11" ht="52" x14ac:dyDescent="0.75">
      <c r="A19" s="3" t="s">
        <v>242</v>
      </c>
      <c r="B19" s="3" t="s">
        <v>221</v>
      </c>
      <c r="C19" s="3" t="s">
        <v>222</v>
      </c>
      <c r="D19" s="3" t="s">
        <v>243</v>
      </c>
      <c r="E19" s="3" t="s">
        <v>244</v>
      </c>
      <c r="F19" s="3" t="s">
        <v>138</v>
      </c>
      <c r="G19" s="3" t="s">
        <v>245</v>
      </c>
      <c r="H19" s="3" t="s">
        <v>246</v>
      </c>
      <c r="I19" s="3" t="s">
        <v>247</v>
      </c>
      <c r="J19" s="3" t="s">
        <v>17</v>
      </c>
      <c r="K19" s="3" t="s">
        <v>248</v>
      </c>
    </row>
    <row r="20" spans="1:11" ht="52" x14ac:dyDescent="0.75">
      <c r="A20" s="3" t="s">
        <v>249</v>
      </c>
      <c r="B20" s="3" t="s">
        <v>221</v>
      </c>
      <c r="C20" s="3" t="s">
        <v>222</v>
      </c>
      <c r="D20" s="3" t="s">
        <v>250</v>
      </c>
      <c r="E20" s="3" t="s">
        <v>251</v>
      </c>
      <c r="F20" s="3" t="s">
        <v>138</v>
      </c>
      <c r="G20" s="3" t="s">
        <v>252</v>
      </c>
      <c r="H20" s="3" t="s">
        <v>32</v>
      </c>
      <c r="I20" s="3" t="s">
        <v>253</v>
      </c>
      <c r="J20" s="3" t="s">
        <v>17</v>
      </c>
      <c r="K20" s="3" t="s">
        <v>254</v>
      </c>
    </row>
    <row r="21" spans="1:11" ht="52" x14ac:dyDescent="0.75">
      <c r="A21" s="3" t="s">
        <v>255</v>
      </c>
      <c r="B21" s="3" t="s">
        <v>221</v>
      </c>
      <c r="C21" s="3" t="s">
        <v>222</v>
      </c>
      <c r="D21" s="3" t="s">
        <v>256</v>
      </c>
      <c r="E21" s="3" t="s">
        <v>257</v>
      </c>
      <c r="F21" s="3" t="s">
        <v>173</v>
      </c>
      <c r="G21" s="3" t="s">
        <v>258</v>
      </c>
      <c r="H21" s="3" t="s">
        <v>32</v>
      </c>
      <c r="I21" s="3" t="s">
        <v>259</v>
      </c>
      <c r="J21" s="3" t="s">
        <v>17</v>
      </c>
      <c r="K21" s="3" t="s">
        <v>260</v>
      </c>
    </row>
    <row r="22" spans="1:11" ht="104" x14ac:dyDescent="0.75">
      <c r="A22" s="3" t="s">
        <v>261</v>
      </c>
      <c r="B22" s="3" t="s">
        <v>262</v>
      </c>
      <c r="C22" s="3" t="s">
        <v>263</v>
      </c>
      <c r="D22" s="3" t="s">
        <v>264</v>
      </c>
      <c r="E22" s="3" t="s">
        <v>265</v>
      </c>
      <c r="F22" s="3" t="s">
        <v>123</v>
      </c>
      <c r="G22" s="3" t="s">
        <v>266</v>
      </c>
      <c r="H22" s="3" t="s">
        <v>132</v>
      </c>
      <c r="I22" s="3" t="s">
        <v>267</v>
      </c>
      <c r="J22" s="3" t="s">
        <v>17</v>
      </c>
      <c r="K22" s="3" t="s">
        <v>268</v>
      </c>
    </row>
    <row r="23" spans="1:11" ht="143" x14ac:dyDescent="0.75">
      <c r="A23" s="3" t="s">
        <v>269</v>
      </c>
      <c r="B23" s="3" t="s">
        <v>262</v>
      </c>
      <c r="C23" s="3" t="s">
        <v>263</v>
      </c>
      <c r="D23" s="3" t="s">
        <v>270</v>
      </c>
      <c r="E23" s="3" t="s">
        <v>271</v>
      </c>
      <c r="F23" s="3" t="s">
        <v>138</v>
      </c>
      <c r="G23" s="3" t="s">
        <v>272</v>
      </c>
      <c r="H23" s="3" t="s">
        <v>273</v>
      </c>
      <c r="I23" s="3" t="s">
        <v>274</v>
      </c>
      <c r="J23" s="3" t="s">
        <v>211</v>
      </c>
      <c r="K23" s="3" t="s">
        <v>275</v>
      </c>
    </row>
    <row r="24" spans="1:11" ht="156" x14ac:dyDescent="0.75">
      <c r="A24" s="3" t="s">
        <v>276</v>
      </c>
      <c r="B24" s="3" t="s">
        <v>262</v>
      </c>
      <c r="C24" s="3" t="s">
        <v>263</v>
      </c>
      <c r="D24" s="3" t="s">
        <v>277</v>
      </c>
      <c r="E24" s="3" t="s">
        <v>278</v>
      </c>
      <c r="F24" s="3" t="s">
        <v>123</v>
      </c>
      <c r="G24" s="3" t="s">
        <v>279</v>
      </c>
      <c r="H24" s="3" t="s">
        <v>280</v>
      </c>
      <c r="I24" s="3" t="s">
        <v>281</v>
      </c>
      <c r="J24" s="3" t="s">
        <v>17</v>
      </c>
      <c r="K24" s="3" t="s">
        <v>282</v>
      </c>
    </row>
    <row r="25" spans="1:11" ht="104" x14ac:dyDescent="0.75">
      <c r="A25" s="3" t="s">
        <v>283</v>
      </c>
      <c r="B25" s="3" t="s">
        <v>262</v>
      </c>
      <c r="C25" s="3" t="s">
        <v>263</v>
      </c>
      <c r="D25" s="3" t="s">
        <v>284</v>
      </c>
      <c r="E25" s="3" t="s">
        <v>285</v>
      </c>
      <c r="F25" s="3" t="s">
        <v>123</v>
      </c>
      <c r="G25" s="3" t="s">
        <v>286</v>
      </c>
      <c r="H25" s="3" t="s">
        <v>287</v>
      </c>
      <c r="I25" s="3" t="s">
        <v>288</v>
      </c>
      <c r="J25" s="3" t="s">
        <v>17</v>
      </c>
      <c r="K25" s="3" t="s">
        <v>289</v>
      </c>
    </row>
    <row r="26" spans="1:11" ht="91" x14ac:dyDescent="0.75">
      <c r="A26" s="3" t="s">
        <v>290</v>
      </c>
      <c r="B26" s="3" t="s">
        <v>291</v>
      </c>
      <c r="C26" s="3" t="s">
        <v>292</v>
      </c>
      <c r="D26" s="3" t="s">
        <v>293</v>
      </c>
      <c r="E26" s="3" t="s">
        <v>294</v>
      </c>
      <c r="F26" s="3" t="s">
        <v>138</v>
      </c>
      <c r="G26" s="3" t="s">
        <v>295</v>
      </c>
      <c r="H26" s="3" t="s">
        <v>147</v>
      </c>
      <c r="I26" s="3" t="s">
        <v>296</v>
      </c>
      <c r="J26" s="3" t="s">
        <v>17</v>
      </c>
      <c r="K26" s="3" t="s">
        <v>297</v>
      </c>
    </row>
    <row r="27" spans="1:11" ht="65" x14ac:dyDescent="0.75">
      <c r="A27" s="3" t="s">
        <v>298</v>
      </c>
      <c r="B27" s="3" t="s">
        <v>291</v>
      </c>
      <c r="C27" s="3" t="s">
        <v>292</v>
      </c>
      <c r="D27" s="3" t="s">
        <v>299</v>
      </c>
      <c r="E27" s="3" t="s">
        <v>300</v>
      </c>
      <c r="F27" s="3" t="s">
        <v>173</v>
      </c>
      <c r="G27" s="3" t="s">
        <v>301</v>
      </c>
      <c r="H27" s="3" t="s">
        <v>47</v>
      </c>
      <c r="I27" s="3" t="s">
        <v>302</v>
      </c>
      <c r="J27" s="3" t="s">
        <v>17</v>
      </c>
      <c r="K27" s="3" t="s">
        <v>303</v>
      </c>
    </row>
    <row r="28" spans="1:11" ht="78" x14ac:dyDescent="0.75">
      <c r="A28" s="3" t="s">
        <v>304</v>
      </c>
      <c r="B28" s="3" t="s">
        <v>291</v>
      </c>
      <c r="C28" s="3" t="s">
        <v>292</v>
      </c>
      <c r="D28" s="3" t="s">
        <v>305</v>
      </c>
      <c r="E28" s="3" t="s">
        <v>306</v>
      </c>
      <c r="F28" s="3" t="s">
        <v>138</v>
      </c>
      <c r="G28" s="3" t="s">
        <v>307</v>
      </c>
      <c r="H28" s="3" t="s">
        <v>147</v>
      </c>
      <c r="I28" s="3" t="s">
        <v>308</v>
      </c>
      <c r="J28" s="3" t="s">
        <v>17</v>
      </c>
      <c r="K28" s="3" t="s">
        <v>309</v>
      </c>
    </row>
    <row r="29" spans="1:11" ht="65" x14ac:dyDescent="0.75">
      <c r="A29" s="3" t="s">
        <v>310</v>
      </c>
      <c r="B29" s="3" t="s">
        <v>291</v>
      </c>
      <c r="C29" s="3" t="s">
        <v>292</v>
      </c>
      <c r="D29" s="3" t="s">
        <v>311</v>
      </c>
      <c r="E29" s="3" t="s">
        <v>312</v>
      </c>
      <c r="F29" s="3" t="s">
        <v>138</v>
      </c>
      <c r="G29" s="3" t="s">
        <v>313</v>
      </c>
      <c r="H29" s="3" t="s">
        <v>147</v>
      </c>
      <c r="I29" s="3" t="s">
        <v>314</v>
      </c>
      <c r="J29" s="3" t="s">
        <v>17</v>
      </c>
      <c r="K29" s="3" t="s">
        <v>315</v>
      </c>
    </row>
    <row r="30" spans="1:11" ht="52" x14ac:dyDescent="0.75">
      <c r="A30" s="3" t="s">
        <v>316</v>
      </c>
      <c r="B30" s="3" t="s">
        <v>291</v>
      </c>
      <c r="C30" s="3" t="s">
        <v>292</v>
      </c>
      <c r="D30" s="3" t="s">
        <v>317</v>
      </c>
      <c r="E30" s="3" t="s">
        <v>318</v>
      </c>
      <c r="F30" s="3" t="s">
        <v>173</v>
      </c>
      <c r="G30" s="3" t="s">
        <v>319</v>
      </c>
      <c r="H30" s="3" t="s">
        <v>140</v>
      </c>
      <c r="I30" s="3" t="s">
        <v>320</v>
      </c>
      <c r="J30" s="3" t="s">
        <v>17</v>
      </c>
      <c r="K30" s="3" t="s">
        <v>321</v>
      </c>
    </row>
    <row r="31" spans="1:11" ht="65" x14ac:dyDescent="0.75">
      <c r="A31" s="3" t="s">
        <v>322</v>
      </c>
      <c r="B31" s="3" t="s">
        <v>323</v>
      </c>
      <c r="C31" s="3" t="s">
        <v>324</v>
      </c>
      <c r="D31" s="3" t="s">
        <v>325</v>
      </c>
      <c r="E31" s="3" t="s">
        <v>326</v>
      </c>
      <c r="F31" s="3" t="s">
        <v>123</v>
      </c>
      <c r="G31" s="3" t="s">
        <v>327</v>
      </c>
      <c r="H31" s="3" t="s">
        <v>94</v>
      </c>
      <c r="I31" s="3" t="s">
        <v>328</v>
      </c>
      <c r="J31" s="3" t="s">
        <v>17</v>
      </c>
      <c r="K31" s="3" t="s">
        <v>329</v>
      </c>
    </row>
    <row r="32" spans="1:11" ht="117" x14ac:dyDescent="0.75">
      <c r="A32" s="3" t="s">
        <v>330</v>
      </c>
      <c r="B32" s="3" t="s">
        <v>323</v>
      </c>
      <c r="C32" s="3" t="s">
        <v>324</v>
      </c>
      <c r="D32" s="3" t="s">
        <v>331</v>
      </c>
      <c r="E32" s="3" t="s">
        <v>332</v>
      </c>
      <c r="F32" s="3" t="s">
        <v>123</v>
      </c>
      <c r="G32" s="3" t="s">
        <v>333</v>
      </c>
      <c r="H32" s="3" t="s">
        <v>334</v>
      </c>
      <c r="I32" s="3" t="s">
        <v>335</v>
      </c>
      <c r="J32" s="3" t="s">
        <v>17</v>
      </c>
      <c r="K32" s="3" t="s">
        <v>336</v>
      </c>
    </row>
  </sheetData>
  <dataValidations count="2">
    <dataValidation type="list" sqref="F2:F32" xr:uid="{00000000-0002-0000-0100-000000000000}">
      <formula1>"Must,Should,Could,Won't"</formula1>
      <formula2>0</formula2>
    </dataValidation>
    <dataValidation type="list" sqref="J2:J32" xr:uid="{00000000-0002-0000-0100-000001000000}">
      <formula1>"DIRECT,INFERRED,ASSUMPTION,UNRESOLVED"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796875" defaultRowHeight="14.75" x14ac:dyDescent="0.75"/>
  <cols>
    <col min="1" max="1" width="11" customWidth="1"/>
    <col min="2" max="2" width="24" customWidth="1"/>
    <col min="3" max="3" width="45" customWidth="1"/>
    <col min="4" max="4" width="30" customWidth="1"/>
    <col min="5" max="5" width="20" customWidth="1"/>
    <col min="6" max="6" width="11" customWidth="1"/>
    <col min="7" max="8" width="40" customWidth="1"/>
    <col min="9" max="9" width="60" customWidth="1"/>
    <col min="10" max="10" width="13" customWidth="1"/>
    <col min="11" max="11" width="45" customWidth="1"/>
  </cols>
  <sheetData>
    <row r="1" spans="1:11" ht="26" x14ac:dyDescent="0.75">
      <c r="A1" s="2" t="s">
        <v>337</v>
      </c>
      <c r="B1" s="2" t="s">
        <v>338</v>
      </c>
      <c r="C1" s="2" t="s">
        <v>339</v>
      </c>
      <c r="D1" s="2" t="s">
        <v>340</v>
      </c>
      <c r="E1" s="2" t="s">
        <v>341</v>
      </c>
      <c r="F1" s="2" t="s">
        <v>342</v>
      </c>
      <c r="G1" s="2" t="s">
        <v>343</v>
      </c>
      <c r="H1" s="2" t="s">
        <v>6</v>
      </c>
      <c r="I1" s="2" t="s">
        <v>117</v>
      </c>
      <c r="J1" s="2" t="s">
        <v>8</v>
      </c>
      <c r="K1" s="2" t="s">
        <v>344</v>
      </c>
    </row>
    <row r="2" spans="1:11" ht="39" x14ac:dyDescent="0.75">
      <c r="A2" s="3" t="s">
        <v>345</v>
      </c>
      <c r="B2" s="3" t="s">
        <v>346</v>
      </c>
      <c r="C2" s="3" t="s">
        <v>347</v>
      </c>
      <c r="D2" s="3" t="s">
        <v>348</v>
      </c>
      <c r="E2" s="3" t="s">
        <v>349</v>
      </c>
      <c r="F2" s="3" t="s">
        <v>350</v>
      </c>
      <c r="G2" s="3" t="s">
        <v>351</v>
      </c>
      <c r="H2" s="3" t="s">
        <v>32</v>
      </c>
      <c r="I2" s="3" t="s">
        <v>352</v>
      </c>
      <c r="J2" s="3" t="s">
        <v>211</v>
      </c>
      <c r="K2" s="3" t="s">
        <v>353</v>
      </c>
    </row>
    <row r="3" spans="1:11" ht="39" x14ac:dyDescent="0.75">
      <c r="A3" s="3" t="s">
        <v>354</v>
      </c>
      <c r="B3" s="3" t="s">
        <v>355</v>
      </c>
      <c r="C3" s="3" t="s">
        <v>356</v>
      </c>
      <c r="D3" s="3" t="s">
        <v>357</v>
      </c>
      <c r="E3" s="3" t="s">
        <v>349</v>
      </c>
      <c r="F3" s="3" t="s">
        <v>358</v>
      </c>
      <c r="G3" s="3" t="s">
        <v>359</v>
      </c>
      <c r="H3" s="3" t="s">
        <v>360</v>
      </c>
      <c r="I3" s="3" t="s">
        <v>361</v>
      </c>
      <c r="J3" s="3" t="s">
        <v>211</v>
      </c>
      <c r="K3" s="3" t="s">
        <v>362</v>
      </c>
    </row>
    <row r="4" spans="1:11" ht="39" x14ac:dyDescent="0.75">
      <c r="A4" s="3" t="s">
        <v>363</v>
      </c>
      <c r="B4" s="3" t="s">
        <v>364</v>
      </c>
      <c r="C4" s="3" t="s">
        <v>365</v>
      </c>
      <c r="D4" s="3" t="s">
        <v>366</v>
      </c>
      <c r="E4" s="3" t="s">
        <v>367</v>
      </c>
      <c r="F4" s="3" t="s">
        <v>368</v>
      </c>
      <c r="G4" s="3" t="s">
        <v>369</v>
      </c>
      <c r="H4" s="3" t="s">
        <v>32</v>
      </c>
      <c r="I4" s="3" t="s">
        <v>370</v>
      </c>
      <c r="J4" s="3" t="s">
        <v>17</v>
      </c>
      <c r="K4" s="3" t="s">
        <v>371</v>
      </c>
    </row>
    <row r="5" spans="1:11" ht="52" x14ac:dyDescent="0.75">
      <c r="A5" s="3" t="s">
        <v>372</v>
      </c>
      <c r="B5" s="3" t="s">
        <v>373</v>
      </c>
      <c r="C5" s="3" t="s">
        <v>374</v>
      </c>
      <c r="D5" s="3" t="s">
        <v>375</v>
      </c>
      <c r="E5" s="3" t="s">
        <v>376</v>
      </c>
      <c r="F5" s="3" t="s">
        <v>377</v>
      </c>
      <c r="G5" s="3" t="s">
        <v>378</v>
      </c>
      <c r="H5" s="3" t="s">
        <v>379</v>
      </c>
      <c r="I5" s="3" t="s">
        <v>380</v>
      </c>
      <c r="J5" s="3" t="s">
        <v>17</v>
      </c>
      <c r="K5" s="3" t="s">
        <v>381</v>
      </c>
    </row>
    <row r="6" spans="1:11" ht="52" x14ac:dyDescent="0.75">
      <c r="A6" s="3" t="s">
        <v>382</v>
      </c>
      <c r="B6" s="3" t="s">
        <v>383</v>
      </c>
      <c r="C6" s="3" t="s">
        <v>384</v>
      </c>
      <c r="D6" s="3" t="s">
        <v>385</v>
      </c>
      <c r="E6" s="3" t="s">
        <v>386</v>
      </c>
      <c r="F6" s="3" t="s">
        <v>387</v>
      </c>
      <c r="G6" s="3" t="s">
        <v>388</v>
      </c>
      <c r="H6" s="3" t="s">
        <v>94</v>
      </c>
      <c r="I6" s="3" t="s">
        <v>389</v>
      </c>
      <c r="J6" s="3" t="s">
        <v>17</v>
      </c>
      <c r="K6" s="3" t="s">
        <v>390</v>
      </c>
    </row>
    <row r="7" spans="1:11" ht="39" x14ac:dyDescent="0.75">
      <c r="A7" s="3" t="s">
        <v>391</v>
      </c>
      <c r="B7" s="3" t="s">
        <v>392</v>
      </c>
      <c r="C7" s="3" t="s">
        <v>393</v>
      </c>
      <c r="D7" s="3" t="s">
        <v>394</v>
      </c>
      <c r="E7" s="3" t="s">
        <v>395</v>
      </c>
      <c r="F7" s="3" t="s">
        <v>396</v>
      </c>
      <c r="G7" s="3" t="s">
        <v>397</v>
      </c>
      <c r="H7" s="3" t="s">
        <v>94</v>
      </c>
      <c r="I7" s="3" t="s">
        <v>398</v>
      </c>
      <c r="J7" s="3" t="s">
        <v>17</v>
      </c>
      <c r="K7" s="3" t="s">
        <v>399</v>
      </c>
    </row>
    <row r="8" spans="1:11" ht="39" x14ac:dyDescent="0.75">
      <c r="A8" s="3" t="s">
        <v>400</v>
      </c>
      <c r="B8" s="3" t="s">
        <v>392</v>
      </c>
      <c r="C8" s="3" t="s">
        <v>401</v>
      </c>
      <c r="D8" s="3" t="s">
        <v>402</v>
      </c>
      <c r="E8" s="3" t="s">
        <v>403</v>
      </c>
      <c r="F8" s="3" t="s">
        <v>404</v>
      </c>
      <c r="G8" s="3" t="s">
        <v>405</v>
      </c>
      <c r="H8" s="3" t="s">
        <v>94</v>
      </c>
      <c r="I8" s="3" t="s">
        <v>406</v>
      </c>
      <c r="J8" s="3" t="s">
        <v>211</v>
      </c>
      <c r="K8" s="3" t="s">
        <v>407</v>
      </c>
    </row>
    <row r="9" spans="1:11" ht="39" x14ac:dyDescent="0.75">
      <c r="A9" s="3" t="s">
        <v>408</v>
      </c>
      <c r="B9" s="3" t="s">
        <v>409</v>
      </c>
      <c r="C9" s="3" t="s">
        <v>410</v>
      </c>
      <c r="D9" s="3" t="s">
        <v>411</v>
      </c>
      <c r="E9" s="3" t="s">
        <v>349</v>
      </c>
      <c r="F9" s="3" t="s">
        <v>412</v>
      </c>
      <c r="G9" s="3" t="s">
        <v>405</v>
      </c>
      <c r="H9" s="3" t="s">
        <v>47</v>
      </c>
      <c r="I9" s="3" t="s">
        <v>413</v>
      </c>
      <c r="J9" s="3" t="s">
        <v>211</v>
      </c>
      <c r="K9" s="3" t="s">
        <v>414</v>
      </c>
    </row>
    <row r="10" spans="1:11" ht="26" x14ac:dyDescent="0.75">
      <c r="A10" s="3" t="s">
        <v>415</v>
      </c>
      <c r="B10" s="3" t="s">
        <v>416</v>
      </c>
      <c r="C10" s="3" t="s">
        <v>417</v>
      </c>
      <c r="D10" s="3" t="s">
        <v>418</v>
      </c>
      <c r="E10" s="3" t="s">
        <v>376</v>
      </c>
      <c r="F10" s="3" t="s">
        <v>377</v>
      </c>
      <c r="G10" s="3" t="s">
        <v>419</v>
      </c>
      <c r="H10" s="3" t="s">
        <v>94</v>
      </c>
      <c r="I10" s="3" t="s">
        <v>420</v>
      </c>
      <c r="J10" s="3" t="s">
        <v>17</v>
      </c>
      <c r="K10" s="3" t="s">
        <v>421</v>
      </c>
    </row>
    <row r="11" spans="1:11" ht="52" x14ac:dyDescent="0.75">
      <c r="A11" s="3" t="s">
        <v>422</v>
      </c>
      <c r="B11" s="3" t="s">
        <v>423</v>
      </c>
      <c r="C11" s="3" t="s">
        <v>424</v>
      </c>
      <c r="D11" s="3" t="s">
        <v>425</v>
      </c>
      <c r="E11" s="3" t="s">
        <v>426</v>
      </c>
      <c r="F11" s="3" t="s">
        <v>427</v>
      </c>
      <c r="G11" s="3" t="s">
        <v>428</v>
      </c>
      <c r="H11" s="3" t="s">
        <v>429</v>
      </c>
      <c r="I11" s="3" t="s">
        <v>430</v>
      </c>
      <c r="J11" s="3" t="s">
        <v>17</v>
      </c>
      <c r="K11" s="3" t="s">
        <v>431</v>
      </c>
    </row>
    <row r="12" spans="1:11" ht="52" x14ac:dyDescent="0.75">
      <c r="A12" s="3" t="s">
        <v>432</v>
      </c>
      <c r="B12" s="3" t="s">
        <v>433</v>
      </c>
      <c r="C12" s="3" t="s">
        <v>434</v>
      </c>
      <c r="D12" s="3" t="s">
        <v>435</v>
      </c>
      <c r="E12" s="3" t="s">
        <v>436</v>
      </c>
      <c r="F12" s="3" t="s">
        <v>437</v>
      </c>
      <c r="G12" s="3" t="s">
        <v>438</v>
      </c>
      <c r="H12" s="3" t="s">
        <v>439</v>
      </c>
      <c r="I12" s="3" t="s">
        <v>440</v>
      </c>
      <c r="J12" s="3" t="s">
        <v>17</v>
      </c>
      <c r="K12" s="3" t="s">
        <v>441</v>
      </c>
    </row>
    <row r="13" spans="1:11" ht="52" x14ac:dyDescent="0.75">
      <c r="A13" s="3" t="s">
        <v>442</v>
      </c>
      <c r="B13" s="3" t="s">
        <v>443</v>
      </c>
      <c r="C13" s="3" t="s">
        <v>444</v>
      </c>
      <c r="D13" s="3" t="s">
        <v>445</v>
      </c>
      <c r="E13" s="3" t="s">
        <v>349</v>
      </c>
      <c r="F13" s="3" t="s">
        <v>445</v>
      </c>
      <c r="G13" s="3" t="s">
        <v>446</v>
      </c>
      <c r="H13" s="3" t="s">
        <v>447</v>
      </c>
      <c r="I13" s="3" t="s">
        <v>448</v>
      </c>
      <c r="J13" s="3" t="s">
        <v>211</v>
      </c>
      <c r="K13" s="3" t="s">
        <v>449</v>
      </c>
    </row>
    <row r="14" spans="1:11" ht="52" x14ac:dyDescent="0.75">
      <c r="A14" s="3" t="s">
        <v>450</v>
      </c>
      <c r="B14" s="3" t="s">
        <v>451</v>
      </c>
      <c r="C14" s="3" t="s">
        <v>452</v>
      </c>
      <c r="D14" s="3" t="s">
        <v>453</v>
      </c>
      <c r="E14" s="3" t="s">
        <v>454</v>
      </c>
      <c r="F14" s="3" t="s">
        <v>455</v>
      </c>
      <c r="G14" s="3" t="s">
        <v>456</v>
      </c>
      <c r="H14" s="3" t="s">
        <v>246</v>
      </c>
      <c r="I14" s="3" t="s">
        <v>457</v>
      </c>
      <c r="J14" s="3" t="s">
        <v>458</v>
      </c>
      <c r="K14" s="3" t="s">
        <v>459</v>
      </c>
    </row>
  </sheetData>
  <dataValidations count="1">
    <dataValidation type="list" sqref="J2:J14" xr:uid="{00000000-0002-0000-0200-000000000000}">
      <formula1>"DIRECT,INFERRED,ASSUMPTION,UNRESOLVED"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796875" defaultRowHeight="14.75" x14ac:dyDescent="0.75"/>
  <cols>
    <col min="1" max="1" width="9" customWidth="1"/>
    <col min="2" max="2" width="40" customWidth="1"/>
    <col min="3" max="3" width="55" customWidth="1"/>
    <col min="4" max="4" width="45" customWidth="1"/>
    <col min="5" max="6" width="35" customWidth="1"/>
    <col min="7" max="7" width="40" customWidth="1"/>
    <col min="8" max="9" width="60" customWidth="1"/>
    <col min="10" max="10" width="50" customWidth="1"/>
    <col min="11" max="11" width="26" customWidth="1"/>
    <col min="12" max="12" width="10" customWidth="1"/>
  </cols>
  <sheetData>
    <row r="1" spans="1:12" ht="26" x14ac:dyDescent="0.75">
      <c r="A1" s="2" t="s">
        <v>460</v>
      </c>
      <c r="B1" s="2" t="s">
        <v>461</v>
      </c>
      <c r="C1" s="2" t="s">
        <v>462</v>
      </c>
      <c r="D1" s="2" t="s">
        <v>463</v>
      </c>
      <c r="E1" s="2" t="s">
        <v>464</v>
      </c>
      <c r="F1" s="2" t="s">
        <v>465</v>
      </c>
      <c r="G1" s="2" t="s">
        <v>6</v>
      </c>
      <c r="H1" s="2" t="s">
        <v>7</v>
      </c>
      <c r="I1" s="2" t="s">
        <v>466</v>
      </c>
      <c r="J1" s="2" t="s">
        <v>467</v>
      </c>
      <c r="K1" s="2" t="s">
        <v>468</v>
      </c>
      <c r="L1" s="2" t="s">
        <v>469</v>
      </c>
    </row>
    <row r="2" spans="1:12" ht="91" x14ac:dyDescent="0.75">
      <c r="A2" s="3" t="s">
        <v>470</v>
      </c>
      <c r="B2" s="3" t="s">
        <v>471</v>
      </c>
      <c r="C2" s="3" t="s">
        <v>472</v>
      </c>
      <c r="D2" s="3" t="s">
        <v>473</v>
      </c>
      <c r="E2" s="3" t="s">
        <v>474</v>
      </c>
      <c r="F2" s="3" t="s">
        <v>475</v>
      </c>
      <c r="G2" s="3" t="s">
        <v>476</v>
      </c>
      <c r="H2" s="3" t="s">
        <v>477</v>
      </c>
      <c r="I2" s="3" t="s">
        <v>478</v>
      </c>
      <c r="J2" s="3" t="s">
        <v>479</v>
      </c>
      <c r="K2" s="3" t="s">
        <v>480</v>
      </c>
      <c r="L2" s="3" t="s">
        <v>481</v>
      </c>
    </row>
    <row r="3" spans="1:12" ht="26" x14ac:dyDescent="0.75">
      <c r="A3" s="3" t="s">
        <v>482</v>
      </c>
      <c r="B3" s="3" t="s">
        <v>483</v>
      </c>
      <c r="C3" s="3" t="s">
        <v>484</v>
      </c>
      <c r="D3" s="3" t="s">
        <v>485</v>
      </c>
      <c r="E3" s="3" t="s">
        <v>486</v>
      </c>
      <c r="F3" s="3" t="s">
        <v>487</v>
      </c>
      <c r="G3" s="3" t="s">
        <v>80</v>
      </c>
      <c r="H3" s="3" t="s">
        <v>488</v>
      </c>
      <c r="I3" s="3" t="s">
        <v>489</v>
      </c>
      <c r="J3" s="3" t="s">
        <v>490</v>
      </c>
      <c r="K3" s="3" t="s">
        <v>491</v>
      </c>
      <c r="L3" s="3" t="s">
        <v>481</v>
      </c>
    </row>
    <row r="4" spans="1:12" ht="52" x14ac:dyDescent="0.75">
      <c r="A4" s="3" t="s">
        <v>492</v>
      </c>
      <c r="B4" s="3" t="s">
        <v>483</v>
      </c>
      <c r="C4" s="3" t="s">
        <v>493</v>
      </c>
      <c r="D4" s="3" t="s">
        <v>494</v>
      </c>
      <c r="E4" s="3" t="s">
        <v>495</v>
      </c>
      <c r="F4" s="3" t="s">
        <v>496</v>
      </c>
      <c r="G4" s="3" t="s">
        <v>497</v>
      </c>
      <c r="H4" s="3" t="s">
        <v>498</v>
      </c>
      <c r="I4" s="3" t="s">
        <v>499</v>
      </c>
      <c r="J4" s="3" t="s">
        <v>500</v>
      </c>
      <c r="K4" s="3" t="s">
        <v>480</v>
      </c>
      <c r="L4" s="3" t="s">
        <v>481</v>
      </c>
    </row>
    <row r="5" spans="1:12" ht="26" x14ac:dyDescent="0.75">
      <c r="A5" s="3" t="s">
        <v>501</v>
      </c>
      <c r="B5" s="3" t="s">
        <v>502</v>
      </c>
      <c r="C5" s="3" t="s">
        <v>503</v>
      </c>
      <c r="D5" s="3" t="s">
        <v>504</v>
      </c>
      <c r="E5" s="3" t="s">
        <v>505</v>
      </c>
      <c r="F5" s="3" t="s">
        <v>487</v>
      </c>
      <c r="G5" s="3" t="s">
        <v>140</v>
      </c>
      <c r="H5" s="3" t="s">
        <v>506</v>
      </c>
      <c r="I5" s="3" t="s">
        <v>507</v>
      </c>
      <c r="J5" s="3" t="s">
        <v>508</v>
      </c>
      <c r="K5" s="3" t="s">
        <v>480</v>
      </c>
      <c r="L5" s="3" t="s">
        <v>481</v>
      </c>
    </row>
    <row r="6" spans="1:12" ht="52" x14ac:dyDescent="0.75">
      <c r="A6" s="3" t="s">
        <v>509</v>
      </c>
      <c r="B6" s="3" t="s">
        <v>510</v>
      </c>
      <c r="C6" s="3" t="s">
        <v>511</v>
      </c>
      <c r="D6" s="3" t="s">
        <v>512</v>
      </c>
      <c r="E6" s="3" t="s">
        <v>513</v>
      </c>
      <c r="F6" s="3" t="s">
        <v>514</v>
      </c>
      <c r="G6" s="3" t="s">
        <v>429</v>
      </c>
      <c r="H6" s="3" t="s">
        <v>515</v>
      </c>
      <c r="I6" s="3" t="s">
        <v>516</v>
      </c>
      <c r="J6" s="3" t="s">
        <v>517</v>
      </c>
      <c r="K6" s="3" t="s">
        <v>480</v>
      </c>
      <c r="L6" s="3" t="s">
        <v>481</v>
      </c>
    </row>
    <row r="7" spans="1:12" ht="39" x14ac:dyDescent="0.75">
      <c r="A7" s="3" t="s">
        <v>518</v>
      </c>
      <c r="B7" s="3" t="s">
        <v>483</v>
      </c>
      <c r="C7" s="3" t="s">
        <v>519</v>
      </c>
      <c r="D7" s="3" t="s">
        <v>520</v>
      </c>
      <c r="E7" s="3" t="s">
        <v>521</v>
      </c>
      <c r="F7" s="3" t="s">
        <v>487</v>
      </c>
      <c r="G7" s="3" t="s">
        <v>24</v>
      </c>
      <c r="H7" s="3" t="s">
        <v>522</v>
      </c>
      <c r="I7" s="3" t="s">
        <v>523</v>
      </c>
      <c r="J7" s="3" t="s">
        <v>524</v>
      </c>
      <c r="K7" s="3" t="s">
        <v>480</v>
      </c>
      <c r="L7" s="3" t="s">
        <v>481</v>
      </c>
    </row>
    <row r="8" spans="1:12" ht="52" x14ac:dyDescent="0.75">
      <c r="A8" s="3" t="s">
        <v>525</v>
      </c>
      <c r="B8" s="3" t="s">
        <v>502</v>
      </c>
      <c r="C8" s="3" t="s">
        <v>526</v>
      </c>
      <c r="D8" s="3" t="s">
        <v>527</v>
      </c>
      <c r="E8" s="3" t="s">
        <v>528</v>
      </c>
      <c r="F8" s="3" t="s">
        <v>529</v>
      </c>
      <c r="G8" s="3" t="s">
        <v>530</v>
      </c>
      <c r="H8" s="3" t="s">
        <v>531</v>
      </c>
      <c r="I8" s="3" t="s">
        <v>532</v>
      </c>
      <c r="J8" s="3" t="s">
        <v>533</v>
      </c>
      <c r="K8" s="3" t="s">
        <v>491</v>
      </c>
      <c r="L8" s="3" t="s">
        <v>481</v>
      </c>
    </row>
    <row r="9" spans="1:12" ht="39" x14ac:dyDescent="0.75">
      <c r="A9" s="3" t="s">
        <v>534</v>
      </c>
      <c r="B9" s="3" t="s">
        <v>483</v>
      </c>
      <c r="C9" s="3" t="s">
        <v>535</v>
      </c>
      <c r="D9" s="3" t="s">
        <v>536</v>
      </c>
      <c r="E9" s="3" t="s">
        <v>537</v>
      </c>
      <c r="F9" s="3" t="s">
        <v>487</v>
      </c>
      <c r="G9" s="3" t="s">
        <v>47</v>
      </c>
      <c r="H9" s="3" t="s">
        <v>302</v>
      </c>
      <c r="I9" s="3" t="s">
        <v>538</v>
      </c>
      <c r="J9" s="3" t="s">
        <v>539</v>
      </c>
      <c r="K9" s="3" t="s">
        <v>480</v>
      </c>
      <c r="L9" s="3" t="s">
        <v>481</v>
      </c>
    </row>
    <row r="10" spans="1:12" ht="26" x14ac:dyDescent="0.75">
      <c r="A10" s="3" t="s">
        <v>540</v>
      </c>
      <c r="B10" s="3" t="s">
        <v>510</v>
      </c>
      <c r="C10" s="3" t="s">
        <v>541</v>
      </c>
      <c r="D10" s="3" t="s">
        <v>542</v>
      </c>
      <c r="E10" s="3" t="s">
        <v>543</v>
      </c>
      <c r="F10" s="3" t="s">
        <v>487</v>
      </c>
      <c r="G10" s="3" t="s">
        <v>80</v>
      </c>
      <c r="H10" s="3" t="s">
        <v>544</v>
      </c>
      <c r="I10" s="3" t="s">
        <v>545</v>
      </c>
      <c r="J10" s="3" t="s">
        <v>546</v>
      </c>
      <c r="K10" s="3" t="s">
        <v>480</v>
      </c>
      <c r="L10" s="3" t="s">
        <v>481</v>
      </c>
    </row>
    <row r="11" spans="1:12" ht="26" x14ac:dyDescent="0.75">
      <c r="A11" s="3" t="s">
        <v>547</v>
      </c>
      <c r="B11" s="3" t="s">
        <v>502</v>
      </c>
      <c r="C11" s="3" t="s">
        <v>548</v>
      </c>
      <c r="D11" s="3" t="s">
        <v>549</v>
      </c>
      <c r="E11" s="3" t="s">
        <v>550</v>
      </c>
      <c r="F11" s="3" t="s">
        <v>487</v>
      </c>
      <c r="G11" s="3" t="s">
        <v>32</v>
      </c>
      <c r="H11" s="3" t="s">
        <v>551</v>
      </c>
      <c r="I11" s="3" t="s">
        <v>552</v>
      </c>
      <c r="J11" s="3" t="s">
        <v>553</v>
      </c>
      <c r="K11" s="3" t="s">
        <v>480</v>
      </c>
      <c r="L11" s="3" t="s">
        <v>481</v>
      </c>
    </row>
    <row r="12" spans="1:12" ht="39" x14ac:dyDescent="0.75">
      <c r="A12" s="3" t="s">
        <v>554</v>
      </c>
      <c r="B12" s="3" t="s">
        <v>502</v>
      </c>
      <c r="C12" s="3" t="s">
        <v>555</v>
      </c>
      <c r="D12" s="3" t="s">
        <v>556</v>
      </c>
      <c r="E12" s="3" t="s">
        <v>557</v>
      </c>
      <c r="F12" s="3" t="s">
        <v>487</v>
      </c>
      <c r="G12" s="3" t="s">
        <v>360</v>
      </c>
      <c r="H12" s="3" t="s">
        <v>558</v>
      </c>
      <c r="I12" s="3" t="s">
        <v>559</v>
      </c>
      <c r="J12" s="3" t="s">
        <v>560</v>
      </c>
      <c r="K12" s="3" t="s">
        <v>480</v>
      </c>
      <c r="L12" s="3" t="s">
        <v>481</v>
      </c>
    </row>
    <row r="13" spans="1:12" ht="52" x14ac:dyDescent="0.75">
      <c r="A13" s="3" t="s">
        <v>561</v>
      </c>
      <c r="B13" s="3" t="s">
        <v>483</v>
      </c>
      <c r="C13" s="3" t="s">
        <v>562</v>
      </c>
      <c r="D13" s="3" t="s">
        <v>563</v>
      </c>
      <c r="E13" s="3" t="s">
        <v>564</v>
      </c>
      <c r="F13" s="3" t="s">
        <v>565</v>
      </c>
      <c r="G13" s="3" t="s">
        <v>566</v>
      </c>
      <c r="H13" s="3" t="s">
        <v>567</v>
      </c>
      <c r="I13" s="3" t="s">
        <v>568</v>
      </c>
      <c r="J13" s="3" t="s">
        <v>569</v>
      </c>
      <c r="K13" s="3" t="s">
        <v>480</v>
      </c>
      <c r="L13" s="3" t="s">
        <v>481</v>
      </c>
    </row>
    <row r="14" spans="1:12" ht="52" x14ac:dyDescent="0.75">
      <c r="A14" s="3" t="s">
        <v>570</v>
      </c>
      <c r="B14" s="3" t="s">
        <v>502</v>
      </c>
      <c r="C14" s="3" t="s">
        <v>571</v>
      </c>
      <c r="D14" s="3" t="s">
        <v>572</v>
      </c>
      <c r="E14" s="3" t="s">
        <v>573</v>
      </c>
      <c r="F14" s="3" t="s">
        <v>487</v>
      </c>
      <c r="G14" s="3" t="s">
        <v>87</v>
      </c>
      <c r="H14" s="3" t="s">
        <v>574</v>
      </c>
      <c r="I14" s="3" t="s">
        <v>575</v>
      </c>
      <c r="J14" s="3" t="s">
        <v>576</v>
      </c>
      <c r="K14" s="3" t="s">
        <v>480</v>
      </c>
      <c r="L14" s="3" t="s">
        <v>481</v>
      </c>
    </row>
    <row r="15" spans="1:12" ht="52" x14ac:dyDescent="0.75">
      <c r="A15" s="3" t="s">
        <v>577</v>
      </c>
      <c r="B15" s="3" t="s">
        <v>483</v>
      </c>
      <c r="C15" s="3" t="s">
        <v>578</v>
      </c>
      <c r="D15" s="3" t="s">
        <v>579</v>
      </c>
      <c r="E15" s="3" t="s">
        <v>580</v>
      </c>
      <c r="F15" s="3" t="s">
        <v>581</v>
      </c>
      <c r="G15" s="3" t="s">
        <v>582</v>
      </c>
      <c r="H15" s="3" t="s">
        <v>583</v>
      </c>
      <c r="I15" s="3" t="s">
        <v>584</v>
      </c>
      <c r="J15" s="3" t="s">
        <v>585</v>
      </c>
      <c r="K15" s="3" t="s">
        <v>480</v>
      </c>
      <c r="L15" s="3" t="s">
        <v>481</v>
      </c>
    </row>
    <row r="16" spans="1:12" ht="26" x14ac:dyDescent="0.75">
      <c r="A16" s="3" t="s">
        <v>586</v>
      </c>
      <c r="B16" s="3" t="s">
        <v>502</v>
      </c>
      <c r="C16" s="3" t="s">
        <v>587</v>
      </c>
      <c r="D16" s="3" t="s">
        <v>588</v>
      </c>
      <c r="E16" s="3" t="s">
        <v>589</v>
      </c>
      <c r="F16" s="3" t="s">
        <v>487</v>
      </c>
      <c r="G16" s="3" t="s">
        <v>32</v>
      </c>
      <c r="H16" s="3" t="s">
        <v>590</v>
      </c>
      <c r="I16" s="3" t="s">
        <v>591</v>
      </c>
      <c r="J16" s="3" t="s">
        <v>592</v>
      </c>
      <c r="K16" s="3" t="s">
        <v>480</v>
      </c>
      <c r="L16" s="3" t="s">
        <v>481</v>
      </c>
    </row>
    <row r="17" spans="1:12" ht="52" x14ac:dyDescent="0.75">
      <c r="A17" s="3" t="s">
        <v>593</v>
      </c>
      <c r="B17" s="3" t="s">
        <v>502</v>
      </c>
      <c r="C17" s="3" t="s">
        <v>594</v>
      </c>
      <c r="D17" s="3" t="s">
        <v>595</v>
      </c>
      <c r="E17" s="3" t="s">
        <v>596</v>
      </c>
      <c r="F17" s="3" t="s">
        <v>487</v>
      </c>
      <c r="G17" s="3" t="s">
        <v>597</v>
      </c>
      <c r="H17" s="3" t="s">
        <v>598</v>
      </c>
      <c r="I17" s="3" t="s">
        <v>599</v>
      </c>
      <c r="J17" s="3" t="s">
        <v>600</v>
      </c>
      <c r="K17" s="3" t="s">
        <v>491</v>
      </c>
      <c r="L17" s="3" t="s">
        <v>481</v>
      </c>
    </row>
    <row r="18" spans="1:12" ht="52" x14ac:dyDescent="0.75">
      <c r="A18" s="3" t="s">
        <v>601</v>
      </c>
      <c r="B18" s="3" t="s">
        <v>502</v>
      </c>
      <c r="C18" s="3" t="s">
        <v>602</v>
      </c>
      <c r="D18" s="3" t="s">
        <v>603</v>
      </c>
      <c r="E18" s="3" t="s">
        <v>604</v>
      </c>
      <c r="F18" s="3" t="s">
        <v>605</v>
      </c>
      <c r="G18" s="3" t="s">
        <v>140</v>
      </c>
      <c r="H18" s="3" t="s">
        <v>606</v>
      </c>
      <c r="I18" s="3" t="s">
        <v>607</v>
      </c>
      <c r="J18" s="3" t="s">
        <v>608</v>
      </c>
      <c r="K18" s="3" t="s">
        <v>480</v>
      </c>
      <c r="L18" s="3" t="s">
        <v>481</v>
      </c>
    </row>
    <row r="19" spans="1:12" ht="39" x14ac:dyDescent="0.75">
      <c r="A19" s="3" t="s">
        <v>609</v>
      </c>
      <c r="B19" s="3" t="s">
        <v>502</v>
      </c>
      <c r="C19" s="3" t="s">
        <v>610</v>
      </c>
      <c r="D19" s="3" t="s">
        <v>611</v>
      </c>
      <c r="E19" s="3" t="s">
        <v>612</v>
      </c>
      <c r="F19" s="3" t="s">
        <v>487</v>
      </c>
      <c r="G19" s="3" t="s">
        <v>140</v>
      </c>
      <c r="H19" s="3" t="s">
        <v>613</v>
      </c>
      <c r="I19" s="3" t="s">
        <v>614</v>
      </c>
      <c r="J19" s="3" t="s">
        <v>615</v>
      </c>
      <c r="K19" s="3" t="s">
        <v>480</v>
      </c>
      <c r="L19" s="3" t="s">
        <v>481</v>
      </c>
    </row>
    <row r="20" spans="1:12" ht="26" x14ac:dyDescent="0.75">
      <c r="A20" s="3" t="s">
        <v>616</v>
      </c>
      <c r="B20" s="3" t="s">
        <v>483</v>
      </c>
      <c r="C20" s="3" t="s">
        <v>617</v>
      </c>
      <c r="D20" s="3" t="s">
        <v>618</v>
      </c>
      <c r="E20" s="3" t="s">
        <v>619</v>
      </c>
      <c r="F20" s="3" t="s">
        <v>487</v>
      </c>
      <c r="G20" s="3" t="s">
        <v>620</v>
      </c>
      <c r="H20" s="3" t="s">
        <v>621</v>
      </c>
      <c r="I20" s="3" t="s">
        <v>622</v>
      </c>
      <c r="J20" s="3" t="s">
        <v>623</v>
      </c>
      <c r="K20" s="3" t="s">
        <v>480</v>
      </c>
      <c r="L20" s="3" t="s">
        <v>481</v>
      </c>
    </row>
    <row r="21" spans="1:12" ht="52" x14ac:dyDescent="0.75">
      <c r="A21" s="3" t="s">
        <v>624</v>
      </c>
      <c r="B21" s="3" t="s">
        <v>483</v>
      </c>
      <c r="C21" s="3" t="s">
        <v>625</v>
      </c>
      <c r="D21" s="3" t="s">
        <v>626</v>
      </c>
      <c r="E21" s="3" t="s">
        <v>627</v>
      </c>
      <c r="F21" s="3" t="s">
        <v>628</v>
      </c>
      <c r="G21" s="3" t="s">
        <v>629</v>
      </c>
      <c r="H21" s="3" t="s">
        <v>630</v>
      </c>
      <c r="I21" s="3" t="s">
        <v>631</v>
      </c>
      <c r="J21" s="3" t="s">
        <v>632</v>
      </c>
      <c r="K21" s="3" t="s">
        <v>480</v>
      </c>
      <c r="L21" s="3" t="s">
        <v>481</v>
      </c>
    </row>
    <row r="22" spans="1:12" ht="52" x14ac:dyDescent="0.75">
      <c r="A22" s="3" t="s">
        <v>633</v>
      </c>
      <c r="B22" s="3" t="s">
        <v>483</v>
      </c>
      <c r="C22" s="3" t="s">
        <v>634</v>
      </c>
      <c r="D22" s="3" t="s">
        <v>635</v>
      </c>
      <c r="E22" s="3" t="s">
        <v>636</v>
      </c>
      <c r="F22" s="3" t="s">
        <v>487</v>
      </c>
      <c r="G22" s="3" t="s">
        <v>637</v>
      </c>
      <c r="H22" s="3" t="s">
        <v>638</v>
      </c>
      <c r="I22" s="3" t="s">
        <v>639</v>
      </c>
      <c r="J22" s="3" t="s">
        <v>640</v>
      </c>
      <c r="K22" s="3" t="s">
        <v>480</v>
      </c>
      <c r="L22" s="3" t="s">
        <v>481</v>
      </c>
    </row>
    <row r="23" spans="1:12" ht="26" x14ac:dyDescent="0.75">
      <c r="A23" s="3" t="s">
        <v>641</v>
      </c>
      <c r="B23" s="3" t="s">
        <v>483</v>
      </c>
      <c r="C23" s="3" t="s">
        <v>642</v>
      </c>
      <c r="D23" s="3" t="s">
        <v>643</v>
      </c>
      <c r="E23" s="3" t="s">
        <v>644</v>
      </c>
      <c r="F23" s="3" t="s">
        <v>487</v>
      </c>
      <c r="G23" s="3" t="s">
        <v>101</v>
      </c>
      <c r="H23" s="3" t="s">
        <v>645</v>
      </c>
      <c r="I23" s="3" t="s">
        <v>646</v>
      </c>
      <c r="J23" s="3" t="s">
        <v>647</v>
      </c>
      <c r="K23" s="3" t="s">
        <v>480</v>
      </c>
      <c r="L23" s="3" t="s">
        <v>481</v>
      </c>
    </row>
    <row r="24" spans="1:12" ht="39" x14ac:dyDescent="0.75">
      <c r="A24" s="3" t="s">
        <v>648</v>
      </c>
      <c r="B24" s="3" t="s">
        <v>483</v>
      </c>
      <c r="C24" s="3" t="s">
        <v>649</v>
      </c>
      <c r="D24" s="3" t="s">
        <v>650</v>
      </c>
      <c r="E24" s="3" t="s">
        <v>651</v>
      </c>
      <c r="F24" s="3" t="s">
        <v>487</v>
      </c>
      <c r="G24" s="3" t="s">
        <v>94</v>
      </c>
      <c r="H24" s="3" t="s">
        <v>328</v>
      </c>
      <c r="I24" s="3" t="s">
        <v>652</v>
      </c>
      <c r="J24" s="3" t="s">
        <v>653</v>
      </c>
      <c r="K24" s="3" t="s">
        <v>480</v>
      </c>
      <c r="L24" s="3" t="s">
        <v>481</v>
      </c>
    </row>
    <row r="25" spans="1:12" ht="26" x14ac:dyDescent="0.75">
      <c r="A25" s="3" t="s">
        <v>654</v>
      </c>
      <c r="B25" s="3" t="s">
        <v>502</v>
      </c>
      <c r="C25" s="3" t="s">
        <v>655</v>
      </c>
      <c r="D25" s="3" t="s">
        <v>656</v>
      </c>
      <c r="E25" s="3" t="s">
        <v>657</v>
      </c>
      <c r="F25" s="3" t="s">
        <v>487</v>
      </c>
      <c r="G25" s="3" t="s">
        <v>94</v>
      </c>
      <c r="H25" s="3" t="s">
        <v>658</v>
      </c>
      <c r="I25" s="3" t="s">
        <v>659</v>
      </c>
      <c r="J25" s="3" t="s">
        <v>660</v>
      </c>
      <c r="K25" s="3" t="s">
        <v>491</v>
      </c>
      <c r="L25" s="3" t="s">
        <v>481</v>
      </c>
    </row>
    <row r="28" spans="1:12" ht="15.75" x14ac:dyDescent="0.75">
      <c r="A28" s="4" t="s">
        <v>661</v>
      </c>
    </row>
    <row r="29" spans="1:12" x14ac:dyDescent="0.75">
      <c r="A29" s="5" t="s">
        <v>662</v>
      </c>
    </row>
    <row r="30" spans="1:12" x14ac:dyDescent="0.75">
      <c r="A30" s="2" t="s">
        <v>663</v>
      </c>
      <c r="B30" s="2" t="s">
        <v>664</v>
      </c>
      <c r="C30" s="2" t="s">
        <v>665</v>
      </c>
      <c r="D30" s="2" t="s">
        <v>666</v>
      </c>
      <c r="E30" s="2" t="s">
        <v>667</v>
      </c>
      <c r="F30" s="2" t="s">
        <v>668</v>
      </c>
      <c r="G30" s="2" t="s">
        <v>669</v>
      </c>
      <c r="H30" s="2" t="s">
        <v>670</v>
      </c>
      <c r="I30" s="2" t="s">
        <v>671</v>
      </c>
    </row>
    <row r="31" spans="1:12" x14ac:dyDescent="0.75">
      <c r="A31" s="3">
        <v>1</v>
      </c>
      <c r="B31" s="3" t="s">
        <v>672</v>
      </c>
      <c r="C31" s="3" t="s">
        <v>360</v>
      </c>
      <c r="D31" s="3" t="s">
        <v>673</v>
      </c>
      <c r="E31" s="3" t="s">
        <v>674</v>
      </c>
      <c r="F31" s="3" t="str">
        <f t="shared" ref="F31:F47" si="0">IF(G31&gt;0,"Yes","No")</f>
        <v>Yes</v>
      </c>
      <c r="G31" s="3">
        <f>COUNTIF('User stories'!$H$2:$H$32,"*"&amp;B31&amp;"*")</f>
        <v>7</v>
      </c>
      <c r="H31" s="3" t="s">
        <v>675</v>
      </c>
      <c r="I31" s="3"/>
    </row>
    <row r="32" spans="1:12" ht="26" x14ac:dyDescent="0.75">
      <c r="A32" s="3">
        <v>2</v>
      </c>
      <c r="B32" s="3" t="s">
        <v>676</v>
      </c>
      <c r="C32" s="3" t="s">
        <v>24</v>
      </c>
      <c r="D32" s="3" t="s">
        <v>673</v>
      </c>
      <c r="E32" s="3" t="s">
        <v>674</v>
      </c>
      <c r="F32" s="3" t="str">
        <f t="shared" si="0"/>
        <v>Yes</v>
      </c>
      <c r="G32" s="3">
        <f>COUNTIF('User stories'!$H$2:$H$32,"*"&amp;B32&amp;"*")</f>
        <v>7</v>
      </c>
      <c r="H32" s="3" t="s">
        <v>677</v>
      </c>
      <c r="I32" s="3"/>
    </row>
    <row r="33" spans="1:9" ht="26" x14ac:dyDescent="0.75">
      <c r="A33" s="3">
        <v>3</v>
      </c>
      <c r="B33" s="3" t="s">
        <v>678</v>
      </c>
      <c r="C33" s="3" t="s">
        <v>32</v>
      </c>
      <c r="D33" s="3" t="s">
        <v>673</v>
      </c>
      <c r="E33" s="3" t="s">
        <v>674</v>
      </c>
      <c r="F33" s="3" t="str">
        <f t="shared" si="0"/>
        <v>Yes</v>
      </c>
      <c r="G33" s="3">
        <f>COUNTIF('User stories'!$H$2:$H$32,"*"&amp;B33&amp;"*")</f>
        <v>5</v>
      </c>
      <c r="H33" s="3" t="s">
        <v>679</v>
      </c>
      <c r="I33" s="3"/>
    </row>
    <row r="34" spans="1:9" ht="26" x14ac:dyDescent="0.75">
      <c r="A34" s="3">
        <v>4</v>
      </c>
      <c r="B34" s="3" t="s">
        <v>680</v>
      </c>
      <c r="C34" s="3" t="s">
        <v>47</v>
      </c>
      <c r="D34" s="3" t="s">
        <v>673</v>
      </c>
      <c r="E34" s="3" t="s">
        <v>674</v>
      </c>
      <c r="F34" s="3" t="str">
        <f t="shared" si="0"/>
        <v>Yes</v>
      </c>
      <c r="G34" s="3">
        <f>COUNTIF('User stories'!$H$2:$H$32,"*"&amp;B34&amp;"*")</f>
        <v>9</v>
      </c>
      <c r="H34" s="3" t="s">
        <v>681</v>
      </c>
      <c r="I34" s="3"/>
    </row>
    <row r="35" spans="1:9" ht="26" x14ac:dyDescent="0.75">
      <c r="A35" s="3">
        <v>5</v>
      </c>
      <c r="B35" s="3" t="s">
        <v>682</v>
      </c>
      <c r="C35" s="3" t="s">
        <v>94</v>
      </c>
      <c r="D35" s="3" t="s">
        <v>673</v>
      </c>
      <c r="E35" s="3" t="s">
        <v>674</v>
      </c>
      <c r="F35" s="3" t="str">
        <f t="shared" si="0"/>
        <v>Yes</v>
      </c>
      <c r="G35" s="3">
        <f>COUNTIF('User stories'!$H$2:$H$32,"*"&amp;B35&amp;"*")</f>
        <v>3</v>
      </c>
      <c r="H35" s="3" t="s">
        <v>683</v>
      </c>
      <c r="I35" s="3" t="s">
        <v>684</v>
      </c>
    </row>
    <row r="36" spans="1:9" x14ac:dyDescent="0.75">
      <c r="A36" s="3">
        <v>6</v>
      </c>
      <c r="B36" s="3" t="s">
        <v>685</v>
      </c>
      <c r="C36" s="3" t="s">
        <v>686</v>
      </c>
      <c r="D36" s="3" t="s">
        <v>687</v>
      </c>
      <c r="E36" s="3" t="s">
        <v>674</v>
      </c>
      <c r="F36" s="3" t="str">
        <f t="shared" si="0"/>
        <v>Yes</v>
      </c>
      <c r="G36" s="3">
        <f>COUNTIF('User stories'!$H$2:$H$32,"*"&amp;B36&amp;"*")</f>
        <v>4</v>
      </c>
      <c r="H36" s="3" t="s">
        <v>688</v>
      </c>
      <c r="I36" s="3" t="s">
        <v>689</v>
      </c>
    </row>
    <row r="37" spans="1:9" ht="26" x14ac:dyDescent="0.75">
      <c r="A37" s="3">
        <v>7</v>
      </c>
      <c r="B37" s="3" t="s">
        <v>690</v>
      </c>
      <c r="C37" s="3" t="s">
        <v>80</v>
      </c>
      <c r="D37" s="3" t="s">
        <v>673</v>
      </c>
      <c r="E37" s="3" t="s">
        <v>674</v>
      </c>
      <c r="F37" s="3" t="str">
        <f t="shared" si="0"/>
        <v>Yes</v>
      </c>
      <c r="G37" s="3">
        <f>COUNTIF('User stories'!$H$2:$H$32,"*"&amp;B37&amp;"*")</f>
        <v>3</v>
      </c>
      <c r="H37" s="3" t="s">
        <v>677</v>
      </c>
      <c r="I37" s="3" t="s">
        <v>691</v>
      </c>
    </row>
    <row r="38" spans="1:9" ht="26" x14ac:dyDescent="0.75">
      <c r="A38" s="3">
        <v>8</v>
      </c>
      <c r="B38" s="3" t="s">
        <v>692</v>
      </c>
      <c r="C38" s="3" t="s">
        <v>101</v>
      </c>
      <c r="D38" s="3" t="s">
        <v>673</v>
      </c>
      <c r="E38" s="3" t="s">
        <v>674</v>
      </c>
      <c r="F38" s="3" t="str">
        <f t="shared" si="0"/>
        <v>No</v>
      </c>
      <c r="G38" s="3">
        <f>COUNTIF('User stories'!$H$2:$H$32,"*"&amp;B38&amp;"*")</f>
        <v>0</v>
      </c>
      <c r="H38" s="3" t="s">
        <v>693</v>
      </c>
      <c r="I38" s="3" t="s">
        <v>694</v>
      </c>
    </row>
    <row r="39" spans="1:9" ht="26" x14ac:dyDescent="0.75">
      <c r="A39" s="3">
        <v>9</v>
      </c>
      <c r="B39" s="3" t="s">
        <v>695</v>
      </c>
      <c r="C39" s="3" t="s">
        <v>696</v>
      </c>
      <c r="D39" s="3" t="s">
        <v>697</v>
      </c>
      <c r="E39" s="3" t="s">
        <v>674</v>
      </c>
      <c r="F39" s="3" t="str">
        <f t="shared" si="0"/>
        <v>Yes</v>
      </c>
      <c r="G39" s="3">
        <f>COUNTIF('User stories'!$H$2:$H$32,"*"&amp;B39&amp;"*")</f>
        <v>8</v>
      </c>
      <c r="H39" s="3" t="s">
        <v>677</v>
      </c>
      <c r="I39" s="3" t="s">
        <v>698</v>
      </c>
    </row>
    <row r="40" spans="1:9" x14ac:dyDescent="0.75">
      <c r="A40" s="3">
        <v>10</v>
      </c>
      <c r="B40" s="3" t="s">
        <v>699</v>
      </c>
      <c r="C40" s="3" t="s">
        <v>620</v>
      </c>
      <c r="D40" s="3" t="s">
        <v>673</v>
      </c>
      <c r="E40" s="3" t="s">
        <v>674</v>
      </c>
      <c r="F40" s="3" t="str">
        <f t="shared" si="0"/>
        <v>Yes</v>
      </c>
      <c r="G40" s="3">
        <f>COUNTIF('User stories'!$H$2:$H$32,"*"&amp;B40&amp;"*")</f>
        <v>2</v>
      </c>
      <c r="H40" s="3" t="s">
        <v>700</v>
      </c>
      <c r="I40" s="3" t="s">
        <v>701</v>
      </c>
    </row>
    <row r="41" spans="1:9" ht="52" x14ac:dyDescent="0.75">
      <c r="A41" s="3">
        <v>11</v>
      </c>
      <c r="B41" s="3" t="s">
        <v>702</v>
      </c>
      <c r="C41" s="3" t="s">
        <v>140</v>
      </c>
      <c r="D41" s="3" t="s">
        <v>703</v>
      </c>
      <c r="E41" s="3" t="s">
        <v>674</v>
      </c>
      <c r="F41" s="3" t="str">
        <f t="shared" si="0"/>
        <v>Yes</v>
      </c>
      <c r="G41" s="3">
        <f>COUNTIF('User stories'!$H$2:$H$32,"*"&amp;B41&amp;"*")</f>
        <v>21</v>
      </c>
      <c r="H41" s="3" t="s">
        <v>704</v>
      </c>
      <c r="I41" s="3" t="s">
        <v>705</v>
      </c>
    </row>
    <row r="42" spans="1:9" ht="26" x14ac:dyDescent="0.75">
      <c r="A42" s="3">
        <v>12</v>
      </c>
      <c r="B42" s="3" t="s">
        <v>706</v>
      </c>
      <c r="C42" s="3" t="s">
        <v>707</v>
      </c>
      <c r="D42" s="3" t="s">
        <v>673</v>
      </c>
      <c r="E42" s="3" t="s">
        <v>674</v>
      </c>
      <c r="F42" s="3" t="str">
        <f t="shared" si="0"/>
        <v>Yes</v>
      </c>
      <c r="G42" s="3">
        <f>COUNTIF('User stories'!$H$2:$H$32,"*"&amp;B42&amp;"*")</f>
        <v>1</v>
      </c>
      <c r="H42" s="3" t="s">
        <v>487</v>
      </c>
      <c r="I42" s="3" t="s">
        <v>708</v>
      </c>
    </row>
    <row r="43" spans="1:9" ht="26" x14ac:dyDescent="0.75">
      <c r="A43" s="3">
        <v>13</v>
      </c>
      <c r="B43" s="3" t="s">
        <v>709</v>
      </c>
      <c r="C43" s="3" t="s">
        <v>710</v>
      </c>
      <c r="D43" s="3" t="s">
        <v>711</v>
      </c>
      <c r="E43" s="3" t="s">
        <v>712</v>
      </c>
      <c r="F43" s="3" t="str">
        <f t="shared" si="0"/>
        <v>No</v>
      </c>
      <c r="G43" s="3">
        <f>COUNTIF('User stories'!$H$2:$H$32,"*"&amp;B43&amp;"*")</f>
        <v>0</v>
      </c>
      <c r="H43" s="3" t="s">
        <v>487</v>
      </c>
      <c r="I43" s="3" t="s">
        <v>713</v>
      </c>
    </row>
    <row r="44" spans="1:9" ht="26" x14ac:dyDescent="0.75">
      <c r="A44" s="3">
        <v>14</v>
      </c>
      <c r="B44" s="3" t="s">
        <v>714</v>
      </c>
      <c r="C44" s="3" t="s">
        <v>715</v>
      </c>
      <c r="D44" s="3" t="s">
        <v>673</v>
      </c>
      <c r="E44" s="3" t="s">
        <v>674</v>
      </c>
      <c r="F44" s="3" t="str">
        <f t="shared" si="0"/>
        <v>No</v>
      </c>
      <c r="G44" s="3">
        <f>COUNTIF('User stories'!$H$2:$H$32,"*"&amp;B44&amp;"*")</f>
        <v>0</v>
      </c>
      <c r="H44" s="3" t="s">
        <v>487</v>
      </c>
      <c r="I44" s="3" t="s">
        <v>716</v>
      </c>
    </row>
    <row r="45" spans="1:9" x14ac:dyDescent="0.75">
      <c r="A45" s="3">
        <v>15</v>
      </c>
      <c r="B45" s="3" t="s">
        <v>717</v>
      </c>
      <c r="C45" s="3" t="s">
        <v>718</v>
      </c>
      <c r="D45" s="3" t="s">
        <v>673</v>
      </c>
      <c r="E45" s="3" t="s">
        <v>674</v>
      </c>
      <c r="F45" s="3" t="str">
        <f t="shared" si="0"/>
        <v>No</v>
      </c>
      <c r="G45" s="3">
        <f>COUNTIF('User stories'!$H$2:$H$32,"*"&amp;B45&amp;"*")</f>
        <v>0</v>
      </c>
      <c r="H45" s="3" t="s">
        <v>487</v>
      </c>
      <c r="I45" s="3" t="s">
        <v>719</v>
      </c>
    </row>
    <row r="46" spans="1:9" x14ac:dyDescent="0.75">
      <c r="A46" s="3">
        <v>16</v>
      </c>
      <c r="B46" s="3" t="s">
        <v>720</v>
      </c>
      <c r="C46" s="3" t="s">
        <v>721</v>
      </c>
      <c r="D46" s="3" t="s">
        <v>673</v>
      </c>
      <c r="E46" s="3" t="s">
        <v>674</v>
      </c>
      <c r="F46" s="3" t="str">
        <f t="shared" si="0"/>
        <v>No</v>
      </c>
      <c r="G46" s="3">
        <f>COUNTIF('User stories'!$H$2:$H$32,"*"&amp;B46&amp;"*")</f>
        <v>0</v>
      </c>
      <c r="H46" s="3" t="s">
        <v>487</v>
      </c>
      <c r="I46" s="3" t="s">
        <v>722</v>
      </c>
    </row>
    <row r="47" spans="1:9" x14ac:dyDescent="0.75">
      <c r="A47" s="3">
        <v>17</v>
      </c>
      <c r="B47" s="3" t="s">
        <v>723</v>
      </c>
      <c r="C47" s="3" t="s">
        <v>723</v>
      </c>
      <c r="D47" s="3" t="s">
        <v>697</v>
      </c>
      <c r="E47" s="3" t="s">
        <v>674</v>
      </c>
      <c r="F47" s="3" t="str">
        <f t="shared" si="0"/>
        <v>No</v>
      </c>
      <c r="G47" s="3">
        <f>COUNTIF('User stories'!$H$2:$H$32,"*"&amp;B47&amp;"*")</f>
        <v>0</v>
      </c>
      <c r="H47" s="3" t="s">
        <v>487</v>
      </c>
      <c r="I47" s="3" t="s">
        <v>724</v>
      </c>
    </row>
    <row r="49" spans="2:9" x14ac:dyDescent="0.75">
      <c r="B49" s="6" t="s">
        <v>725</v>
      </c>
      <c r="G49" s="5">
        <f>COUNTA('User stories'!$A$2:$A$32)</f>
        <v>31</v>
      </c>
    </row>
    <row r="50" spans="2:9" x14ac:dyDescent="0.75">
      <c r="B50" s="6" t="s">
        <v>726</v>
      </c>
      <c r="G50" s="5">
        <f>SUM(G31:G47)</f>
        <v>70</v>
      </c>
    </row>
    <row r="51" spans="2:9" ht="105" customHeight="1" x14ac:dyDescent="0.75">
      <c r="B51" s="6" t="s">
        <v>727</v>
      </c>
      <c r="C51" s="1" t="s">
        <v>728</v>
      </c>
      <c r="D51" s="1"/>
      <c r="E51" s="1"/>
      <c r="F51" s="1"/>
      <c r="G51" s="1"/>
      <c r="H51" s="1"/>
      <c r="I51" s="1"/>
    </row>
  </sheetData>
  <mergeCells count="1">
    <mergeCell ref="C51:I51"/>
  </mergeCells>
  <dataValidations count="2">
    <dataValidation type="list" sqref="B2:B25" xr:uid="{00000000-0002-0000-0300-000000000000}">
      <formula1>"Conflict,Open Question,Missing Evidence,Dependency"</formula1>
      <formula2>0</formula2>
    </dataValidation>
    <dataValidation type="list" sqref="L2:L25" xr:uid="{00000000-0002-0000-0300-000001000000}">
      <formula1>"Open,In review,Resolved"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Stakeholders</vt:lpstr>
      <vt:lpstr>User stories</vt:lpstr>
      <vt:lpstr>Non-functional requirements</vt:lpstr>
      <vt:lpstr>Conflicts and 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felicia almström</cp:lastModifiedBy>
  <cp:revision>0</cp:revision>
  <dcterms:created xsi:type="dcterms:W3CDTF">2026-10-22T07:36:56Z</dcterms:created>
  <dcterms:modified xsi:type="dcterms:W3CDTF">2026-10-22T08:57:56Z</dcterms:modified>
  <dc:language>en-US</dc:language>
</cp:coreProperties>
</file>